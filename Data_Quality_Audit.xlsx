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Practice\Analytics_Project\Quality_Analysis\"/>
    </mc:Choice>
  </mc:AlternateContent>
  <xr:revisionPtr revIDLastSave="0" documentId="13_ncr:1_{2C5A274F-4838-4C68-8DA8-FD107BB0F86C}" xr6:coauthVersionLast="47" xr6:coauthVersionMax="47" xr10:uidLastSave="{00000000-0000-0000-0000-000000000000}"/>
  <bookViews>
    <workbookView xWindow="-96" yWindow="-96" windowWidth="23232" windowHeight="12552" activeTab="4" xr2:uid="{00000000-000D-0000-FFFF-FFFF00000000}"/>
  </bookViews>
  <sheets>
    <sheet name="Raw_Data" sheetId="1" r:id="rId1"/>
    <sheet name="Tasks" sheetId="3" r:id="rId2"/>
    <sheet name="Cleaned_Data" sheetId="4" r:id="rId3"/>
    <sheet name="Product_Master" sheetId="2" r:id="rId4"/>
    <sheet name="Pivot_Tables" sheetId="5" r:id="rId5"/>
    <sheet name="QA_Findigs" sheetId="6"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 i="4"/>
  <c r="L3" i="4"/>
  <c r="L4" i="4"/>
  <c r="G25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J2" i="4"/>
  <c r="O2" i="4" s="1"/>
  <c r="J3" i="4"/>
  <c r="J4" i="4"/>
  <c r="J5" i="4"/>
  <c r="J6" i="4"/>
  <c r="O6" i="4" s="1"/>
  <c r="J7" i="4"/>
  <c r="J8" i="4"/>
  <c r="J9" i="4"/>
  <c r="O9" i="4" s="1"/>
  <c r="J10" i="4"/>
  <c r="O10" i="4" s="1"/>
  <c r="J11" i="4"/>
  <c r="J12" i="4"/>
  <c r="J13" i="4"/>
  <c r="J14" i="4"/>
  <c r="O14" i="4" s="1"/>
  <c r="J15" i="4"/>
  <c r="J16" i="4"/>
  <c r="J17" i="4"/>
  <c r="O17" i="4" s="1"/>
  <c r="J18" i="4"/>
  <c r="O18" i="4" s="1"/>
  <c r="J19" i="4"/>
  <c r="J20" i="4"/>
  <c r="J21" i="4"/>
  <c r="J22" i="4"/>
  <c r="O22" i="4" s="1"/>
  <c r="J23" i="4"/>
  <c r="J24" i="4"/>
  <c r="J25" i="4"/>
  <c r="O25" i="4" s="1"/>
  <c r="J26" i="4"/>
  <c r="O26" i="4" s="1"/>
  <c r="J27" i="4"/>
  <c r="J28" i="4"/>
  <c r="J29" i="4"/>
  <c r="J30" i="4"/>
  <c r="O30" i="4" s="1"/>
  <c r="J31" i="4"/>
  <c r="J32" i="4"/>
  <c r="J33" i="4"/>
  <c r="O33" i="4" s="1"/>
  <c r="J34" i="4"/>
  <c r="O34" i="4" s="1"/>
  <c r="J35" i="4"/>
  <c r="J36" i="4"/>
  <c r="J37" i="4"/>
  <c r="J38" i="4"/>
  <c r="O38" i="4" s="1"/>
  <c r="J39" i="4"/>
  <c r="J40" i="4"/>
  <c r="J41" i="4"/>
  <c r="O41" i="4" s="1"/>
  <c r="J42" i="4"/>
  <c r="O42" i="4" s="1"/>
  <c r="J43" i="4"/>
  <c r="J44" i="4"/>
  <c r="J45" i="4"/>
  <c r="J46" i="4"/>
  <c r="O46" i="4" s="1"/>
  <c r="J47" i="4"/>
  <c r="J48" i="4"/>
  <c r="J49" i="4"/>
  <c r="O49" i="4" s="1"/>
  <c r="J50" i="4"/>
  <c r="O50" i="4" s="1"/>
  <c r="J51" i="4"/>
  <c r="J52" i="4"/>
  <c r="J53" i="4"/>
  <c r="J54" i="4"/>
  <c r="O54" i="4" s="1"/>
  <c r="J55" i="4"/>
  <c r="J56" i="4"/>
  <c r="J57" i="4"/>
  <c r="O57" i="4" s="1"/>
  <c r="J58" i="4"/>
  <c r="O58" i="4" s="1"/>
  <c r="J59" i="4"/>
  <c r="J60" i="4"/>
  <c r="J61" i="4"/>
  <c r="J62" i="4"/>
  <c r="O62" i="4" s="1"/>
  <c r="J63" i="4"/>
  <c r="J64" i="4"/>
  <c r="J65" i="4"/>
  <c r="O65" i="4" s="1"/>
  <c r="J66" i="4"/>
  <c r="O66" i="4" s="1"/>
  <c r="J67" i="4"/>
  <c r="J68" i="4"/>
  <c r="J69" i="4"/>
  <c r="J70" i="4"/>
  <c r="O70" i="4" s="1"/>
  <c r="J71" i="4"/>
  <c r="J72" i="4"/>
  <c r="J73" i="4"/>
  <c r="O73" i="4" s="1"/>
  <c r="J74" i="4"/>
  <c r="O74" i="4" s="1"/>
  <c r="J75" i="4"/>
  <c r="J76" i="4"/>
  <c r="J77" i="4"/>
  <c r="J78" i="4"/>
  <c r="O78" i="4" s="1"/>
  <c r="J79" i="4"/>
  <c r="J80" i="4"/>
  <c r="J81" i="4"/>
  <c r="O81" i="4" s="1"/>
  <c r="J82" i="4"/>
  <c r="O82" i="4" s="1"/>
  <c r="J83" i="4"/>
  <c r="J84" i="4"/>
  <c r="J85" i="4"/>
  <c r="J86" i="4"/>
  <c r="O86" i="4" s="1"/>
  <c r="J87" i="4"/>
  <c r="J88" i="4"/>
  <c r="J89" i="4"/>
  <c r="O89" i="4" s="1"/>
  <c r="J90" i="4"/>
  <c r="O90" i="4" s="1"/>
  <c r="J91" i="4"/>
  <c r="J92" i="4"/>
  <c r="J93" i="4"/>
  <c r="J94" i="4"/>
  <c r="O94" i="4" s="1"/>
  <c r="J95" i="4"/>
  <c r="J96" i="4"/>
  <c r="J97" i="4"/>
  <c r="O97" i="4" s="1"/>
  <c r="J98" i="4"/>
  <c r="O98" i="4" s="1"/>
  <c r="J99" i="4"/>
  <c r="J100" i="4"/>
  <c r="J101" i="4"/>
  <c r="J102" i="4"/>
  <c r="O102" i="4" s="1"/>
  <c r="J103" i="4"/>
  <c r="J104" i="4"/>
  <c r="J105" i="4"/>
  <c r="O105" i="4" s="1"/>
  <c r="J106" i="4"/>
  <c r="O106" i="4" s="1"/>
  <c r="J107" i="4"/>
  <c r="J108" i="4"/>
  <c r="J109" i="4"/>
  <c r="J110" i="4"/>
  <c r="O110" i="4" s="1"/>
  <c r="J111" i="4"/>
  <c r="J112" i="4"/>
  <c r="J113" i="4"/>
  <c r="O113" i="4" s="1"/>
  <c r="J114" i="4"/>
  <c r="O114" i="4" s="1"/>
  <c r="J115" i="4"/>
  <c r="J116" i="4"/>
  <c r="J117" i="4"/>
  <c r="J118" i="4"/>
  <c r="O118" i="4" s="1"/>
  <c r="J119" i="4"/>
  <c r="J120" i="4"/>
  <c r="J121" i="4"/>
  <c r="O121" i="4" s="1"/>
  <c r="J122" i="4"/>
  <c r="O122" i="4" s="1"/>
  <c r="J123" i="4"/>
  <c r="J124" i="4"/>
  <c r="J125" i="4"/>
  <c r="J126" i="4"/>
  <c r="O126" i="4" s="1"/>
  <c r="J127" i="4"/>
  <c r="J128" i="4"/>
  <c r="J129" i="4"/>
  <c r="O129" i="4" s="1"/>
  <c r="J130" i="4"/>
  <c r="O130" i="4" s="1"/>
  <c r="J131" i="4"/>
  <c r="J132" i="4"/>
  <c r="J133" i="4"/>
  <c r="J134" i="4"/>
  <c r="O134" i="4" s="1"/>
  <c r="J135" i="4"/>
  <c r="J136" i="4"/>
  <c r="J137" i="4"/>
  <c r="O137" i="4" s="1"/>
  <c r="J138" i="4"/>
  <c r="O138" i="4" s="1"/>
  <c r="J139" i="4"/>
  <c r="J140" i="4"/>
  <c r="J141" i="4"/>
  <c r="J142" i="4"/>
  <c r="O142" i="4" s="1"/>
  <c r="J143" i="4"/>
  <c r="J144" i="4"/>
  <c r="J145" i="4"/>
  <c r="O145" i="4" s="1"/>
  <c r="J146" i="4"/>
  <c r="O146" i="4" s="1"/>
  <c r="J147" i="4"/>
  <c r="J148" i="4"/>
  <c r="J149" i="4"/>
  <c r="J150" i="4"/>
  <c r="O150" i="4" s="1"/>
  <c r="J151" i="4"/>
  <c r="J152" i="4"/>
  <c r="J153" i="4"/>
  <c r="O153" i="4" s="1"/>
  <c r="J154" i="4"/>
  <c r="O154" i="4" s="1"/>
  <c r="J155" i="4"/>
  <c r="J156" i="4"/>
  <c r="J157" i="4"/>
  <c r="J158" i="4"/>
  <c r="O158" i="4" s="1"/>
  <c r="J159" i="4"/>
  <c r="J160" i="4"/>
  <c r="J161" i="4"/>
  <c r="O161" i="4" s="1"/>
  <c r="J162" i="4"/>
  <c r="O162" i="4" s="1"/>
  <c r="J163" i="4"/>
  <c r="J164" i="4"/>
  <c r="J165" i="4"/>
  <c r="J166" i="4"/>
  <c r="O166" i="4" s="1"/>
  <c r="J167" i="4"/>
  <c r="J168" i="4"/>
  <c r="J169" i="4"/>
  <c r="O169" i="4" s="1"/>
  <c r="J170" i="4"/>
  <c r="O170" i="4" s="1"/>
  <c r="J171" i="4"/>
  <c r="J172" i="4"/>
  <c r="J173" i="4"/>
  <c r="J174" i="4"/>
  <c r="O174" i="4" s="1"/>
  <c r="J175" i="4"/>
  <c r="J176" i="4"/>
  <c r="J177" i="4"/>
  <c r="O177" i="4" s="1"/>
  <c r="J178" i="4"/>
  <c r="O178" i="4" s="1"/>
  <c r="J179" i="4"/>
  <c r="J180" i="4"/>
  <c r="J181" i="4"/>
  <c r="J182" i="4"/>
  <c r="O182" i="4" s="1"/>
  <c r="J183" i="4"/>
  <c r="J184" i="4"/>
  <c r="J185" i="4"/>
  <c r="O185" i="4" s="1"/>
  <c r="J186" i="4"/>
  <c r="O186" i="4" s="1"/>
  <c r="J187" i="4"/>
  <c r="J188" i="4"/>
  <c r="J189" i="4"/>
  <c r="J190" i="4"/>
  <c r="O190" i="4" s="1"/>
  <c r="J191" i="4"/>
  <c r="J192" i="4"/>
  <c r="J193" i="4"/>
  <c r="O193" i="4" s="1"/>
  <c r="J194" i="4"/>
  <c r="O194" i="4" s="1"/>
  <c r="J195" i="4"/>
  <c r="J196" i="4"/>
  <c r="J197" i="4"/>
  <c r="J198" i="4"/>
  <c r="O198" i="4" s="1"/>
  <c r="J199" i="4"/>
  <c r="J200" i="4"/>
  <c r="J201" i="4"/>
  <c r="O201" i="4" s="1"/>
  <c r="J202" i="4"/>
  <c r="O202" i="4" s="1"/>
  <c r="J203" i="4"/>
  <c r="J204" i="4"/>
  <c r="J205" i="4"/>
  <c r="J206" i="4"/>
  <c r="O206" i="4" s="1"/>
  <c r="J207" i="4"/>
  <c r="J208" i="4"/>
  <c r="J209" i="4"/>
  <c r="O209" i="4" s="1"/>
  <c r="J210" i="4"/>
  <c r="O210" i="4" s="1"/>
  <c r="J211" i="4"/>
  <c r="J212" i="4"/>
  <c r="J213" i="4"/>
  <c r="J214" i="4"/>
  <c r="O214" i="4" s="1"/>
  <c r="J215" i="4"/>
  <c r="J216" i="4"/>
  <c r="J217" i="4"/>
  <c r="O217" i="4" s="1"/>
  <c r="J218" i="4"/>
  <c r="O218" i="4" s="1"/>
  <c r="J219" i="4"/>
  <c r="J220" i="4"/>
  <c r="J221" i="4"/>
  <c r="J222" i="4"/>
  <c r="O222" i="4" s="1"/>
  <c r="J223" i="4"/>
  <c r="J224" i="4"/>
  <c r="J225" i="4"/>
  <c r="O225" i="4" s="1"/>
  <c r="J226" i="4"/>
  <c r="O226" i="4" s="1"/>
  <c r="J227" i="4"/>
  <c r="J228" i="4"/>
  <c r="J229" i="4"/>
  <c r="J230" i="4"/>
  <c r="O230" i="4" s="1"/>
  <c r="J231" i="4"/>
  <c r="J232" i="4"/>
  <c r="J233" i="4"/>
  <c r="O233" i="4" s="1"/>
  <c r="J234" i="4"/>
  <c r="O234" i="4" s="1"/>
  <c r="J235" i="4"/>
  <c r="J236" i="4"/>
  <c r="J237" i="4"/>
  <c r="J238" i="4"/>
  <c r="O238" i="4" s="1"/>
  <c r="J239" i="4"/>
  <c r="J240" i="4"/>
  <c r="J241" i="4"/>
  <c r="O241" i="4" s="1"/>
  <c r="J242" i="4"/>
  <c r="O242" i="4" s="1"/>
  <c r="J243" i="4"/>
  <c r="J244" i="4"/>
  <c r="J245" i="4"/>
  <c r="J246" i="4"/>
  <c r="O246" i="4" s="1"/>
  <c r="J247" i="4"/>
  <c r="J248" i="4"/>
  <c r="J249" i="4"/>
  <c r="O249" i="4" s="1"/>
  <c r="J250" i="4"/>
  <c r="O250" i="4" s="1"/>
  <c r="J251" i="4"/>
  <c r="O248" i="4" l="1"/>
  <c r="O240" i="4"/>
  <c r="O232" i="4"/>
  <c r="O224" i="4"/>
  <c r="O216" i="4"/>
  <c r="O208" i="4"/>
  <c r="O200" i="4"/>
  <c r="O192" i="4"/>
  <c r="O184" i="4"/>
  <c r="O176" i="4"/>
  <c r="O168" i="4"/>
  <c r="O160" i="4"/>
  <c r="O152" i="4"/>
  <c r="O144" i="4"/>
  <c r="O136" i="4"/>
  <c r="O128" i="4"/>
  <c r="O120" i="4"/>
  <c r="O112" i="4"/>
  <c r="O104" i="4"/>
  <c r="O96" i="4"/>
  <c r="O88" i="4"/>
  <c r="O80" i="4"/>
  <c r="O72" i="4"/>
  <c r="O64" i="4"/>
  <c r="O56" i="4"/>
  <c r="O48" i="4"/>
  <c r="O40" i="4"/>
  <c r="O32" i="4"/>
  <c r="O24" i="4"/>
  <c r="O16" i="4"/>
  <c r="O8" i="4"/>
  <c r="O247" i="4"/>
  <c r="O239" i="4"/>
  <c r="O231" i="4"/>
  <c r="O223" i="4"/>
  <c r="O215" i="4"/>
  <c r="O207" i="4"/>
  <c r="O199" i="4"/>
  <c r="O191" i="4"/>
  <c r="O183" i="4"/>
  <c r="O175" i="4"/>
  <c r="O167" i="4"/>
  <c r="O159" i="4"/>
  <c r="O151" i="4"/>
  <c r="O143" i="4"/>
  <c r="O135" i="4"/>
  <c r="O127" i="4"/>
  <c r="O119" i="4"/>
  <c r="O111" i="4"/>
  <c r="O103" i="4"/>
  <c r="O95" i="4"/>
  <c r="O87" i="4"/>
  <c r="O79" i="4"/>
  <c r="O71" i="4"/>
  <c r="O63" i="4"/>
  <c r="O55" i="4"/>
  <c r="O47" i="4"/>
  <c r="O39" i="4"/>
  <c r="O31" i="4"/>
  <c r="O23" i="4"/>
  <c r="O15" i="4"/>
  <c r="O7" i="4"/>
  <c r="O251" i="4"/>
  <c r="O243" i="4"/>
  <c r="O235" i="4"/>
  <c r="O227" i="4"/>
  <c r="O219" i="4"/>
  <c r="O211" i="4"/>
  <c r="O203" i="4"/>
  <c r="O195" i="4"/>
  <c r="O187" i="4"/>
  <c r="O179" i="4"/>
  <c r="O171" i="4"/>
  <c r="O163" i="4"/>
  <c r="O155" i="4"/>
  <c r="O147" i="4"/>
  <c r="O139" i="4"/>
  <c r="O131" i="4"/>
  <c r="O123" i="4"/>
  <c r="O115" i="4"/>
  <c r="O107" i="4"/>
  <c r="O99" i="4"/>
  <c r="O91" i="4"/>
  <c r="O83" i="4"/>
  <c r="O75" i="4"/>
  <c r="O67" i="4"/>
  <c r="O59" i="4"/>
  <c r="O51" i="4"/>
  <c r="O43" i="4"/>
  <c r="O35" i="4"/>
  <c r="O27" i="4"/>
  <c r="O19" i="4"/>
  <c r="O11" i="4"/>
  <c r="O3" i="4"/>
  <c r="O245" i="4"/>
  <c r="O237" i="4"/>
  <c r="O229" i="4"/>
  <c r="O221" i="4"/>
  <c r="O213" i="4"/>
  <c r="O205" i="4"/>
  <c r="O197" i="4"/>
  <c r="O189" i="4"/>
  <c r="O181" i="4"/>
  <c r="O173" i="4"/>
  <c r="O165" i="4"/>
  <c r="O157" i="4"/>
  <c r="O149" i="4"/>
  <c r="O141" i="4"/>
  <c r="O133" i="4"/>
  <c r="O125" i="4"/>
  <c r="O117" i="4"/>
  <c r="O109" i="4"/>
  <c r="O101" i="4"/>
  <c r="O93" i="4"/>
  <c r="O85" i="4"/>
  <c r="O77" i="4"/>
  <c r="O69" i="4"/>
  <c r="O61" i="4"/>
  <c r="O53" i="4"/>
  <c r="O45" i="4"/>
  <c r="O37" i="4"/>
  <c r="O29" i="4"/>
  <c r="O21" i="4"/>
  <c r="O13" i="4"/>
  <c r="O5" i="4"/>
  <c r="O244" i="4"/>
  <c r="O236" i="4"/>
  <c r="O228" i="4"/>
  <c r="O220" i="4"/>
  <c r="O212" i="4"/>
  <c r="O204" i="4"/>
  <c r="O196" i="4"/>
  <c r="O188" i="4"/>
  <c r="O180" i="4"/>
  <c r="O172" i="4"/>
  <c r="O164" i="4"/>
  <c r="O156" i="4"/>
  <c r="O148" i="4"/>
  <c r="O140" i="4"/>
  <c r="O132" i="4"/>
  <c r="O124" i="4"/>
  <c r="O116" i="4"/>
  <c r="O108" i="4"/>
  <c r="O100" i="4"/>
  <c r="O92" i="4"/>
  <c r="O84" i="4"/>
  <c r="O76" i="4"/>
  <c r="O68" i="4"/>
  <c r="O60" i="4"/>
  <c r="O52" i="4"/>
  <c r="O44" i="4"/>
  <c r="O36" i="4"/>
  <c r="O28" i="4"/>
  <c r="O20" i="4"/>
  <c r="O12" i="4"/>
  <c r="O4" i="4"/>
</calcChain>
</file>

<file path=xl/sharedStrings.xml><?xml version="1.0" encoding="utf-8"?>
<sst xmlns="http://schemas.openxmlformats.org/spreadsheetml/2006/main" count="2667" uniqueCount="469">
  <si>
    <t>Order_ID</t>
  </si>
  <si>
    <t>Customer_ID</t>
  </si>
  <si>
    <t>Order_Date</t>
  </si>
  <si>
    <t>Product_ID</t>
  </si>
  <si>
    <t>Quantity</t>
  </si>
  <si>
    <t>Unit_Price</t>
  </si>
  <si>
    <t>Total_Revenue</t>
  </si>
  <si>
    <t>Country</t>
  </si>
  <si>
    <t>Status</t>
  </si>
  <si>
    <t>C001</t>
  </si>
  <si>
    <t>2024-02-07</t>
  </si>
  <si>
    <t>P05</t>
  </si>
  <si>
    <t>India</t>
  </si>
  <si>
    <t>Completed</t>
  </si>
  <si>
    <t>C002</t>
  </si>
  <si>
    <t>2024-02-03</t>
  </si>
  <si>
    <t>P07</t>
  </si>
  <si>
    <t>Canada</t>
  </si>
  <si>
    <t>Cancelled</t>
  </si>
  <si>
    <t>C003</t>
  </si>
  <si>
    <t>2024-01-07</t>
  </si>
  <si>
    <t>P15</t>
  </si>
  <si>
    <t>USA</t>
  </si>
  <si>
    <t>C004</t>
  </si>
  <si>
    <t>2024-01-10</t>
  </si>
  <si>
    <t>P09</t>
  </si>
  <si>
    <t>UK</t>
  </si>
  <si>
    <t>C005</t>
  </si>
  <si>
    <t>2024-02-04</t>
  </si>
  <si>
    <t>P13</t>
  </si>
  <si>
    <t>C006</t>
  </si>
  <si>
    <t>2024-02-08</t>
  </si>
  <si>
    <t>P04</t>
  </si>
  <si>
    <t>C007</t>
  </si>
  <si>
    <t>2024-01-27</t>
  </si>
  <si>
    <t>P10</t>
  </si>
  <si>
    <t>C008</t>
  </si>
  <si>
    <t>2024-01-02</t>
  </si>
  <si>
    <t>C009</t>
  </si>
  <si>
    <t>P12</t>
  </si>
  <si>
    <t>C010</t>
  </si>
  <si>
    <t>2024-01-12</t>
  </si>
  <si>
    <t>C011</t>
  </si>
  <si>
    <t>2024-01-31</t>
  </si>
  <si>
    <t>P11</t>
  </si>
  <si>
    <t>C012</t>
  </si>
  <si>
    <t>2024-02-10</t>
  </si>
  <si>
    <t>C013</t>
  </si>
  <si>
    <t>2024-01-28</t>
  </si>
  <si>
    <t>C014</t>
  </si>
  <si>
    <t>2024-01-20</t>
  </si>
  <si>
    <t>P01</t>
  </si>
  <si>
    <t>C015</t>
  </si>
  <si>
    <t>C016</t>
  </si>
  <si>
    <t>2024-01-19</t>
  </si>
  <si>
    <t>Pending</t>
  </si>
  <si>
    <t>C017</t>
  </si>
  <si>
    <t>C018</t>
  </si>
  <si>
    <t>2024-02-11</t>
  </si>
  <si>
    <t>P03</t>
  </si>
  <si>
    <t>C019</t>
  </si>
  <si>
    <t>2024-02-19</t>
  </si>
  <si>
    <t>C020</t>
  </si>
  <si>
    <t>2024-02-23</t>
  </si>
  <si>
    <t>C021</t>
  </si>
  <si>
    <t>C022</t>
  </si>
  <si>
    <t>2024-02-13</t>
  </si>
  <si>
    <t>C023</t>
  </si>
  <si>
    <t>2024-02-15</t>
  </si>
  <si>
    <t>C024</t>
  </si>
  <si>
    <t>C025</t>
  </si>
  <si>
    <t>2024-02-21</t>
  </si>
  <si>
    <t>C026</t>
  </si>
  <si>
    <t>2024-02-20</t>
  </si>
  <si>
    <t>C027</t>
  </si>
  <si>
    <t>2024-01-01</t>
  </si>
  <si>
    <t>C028</t>
  </si>
  <si>
    <t>2024-01-24</t>
  </si>
  <si>
    <t>C029</t>
  </si>
  <si>
    <t>2024-02-09</t>
  </si>
  <si>
    <t>C030</t>
  </si>
  <si>
    <t>P06</t>
  </si>
  <si>
    <t>C031</t>
  </si>
  <si>
    <t>2024-02-26</t>
  </si>
  <si>
    <t>C032</t>
  </si>
  <si>
    <t>2024-01-25</t>
  </si>
  <si>
    <t>C033</t>
  </si>
  <si>
    <t>2024-02-22</t>
  </si>
  <si>
    <t>C034</t>
  </si>
  <si>
    <t>2024-02-17</t>
  </si>
  <si>
    <t>C035</t>
  </si>
  <si>
    <t>2024-01-03</t>
  </si>
  <si>
    <t>C036</t>
  </si>
  <si>
    <t>C037</t>
  </si>
  <si>
    <t>C038</t>
  </si>
  <si>
    <t>2024-01-26</t>
  </si>
  <si>
    <t>C039</t>
  </si>
  <si>
    <t>2024-01-23</t>
  </si>
  <si>
    <t>C040</t>
  </si>
  <si>
    <t>2024-01-14</t>
  </si>
  <si>
    <t>C041</t>
  </si>
  <si>
    <t>2024-01-11</t>
  </si>
  <si>
    <t>C042</t>
  </si>
  <si>
    <t>C043</t>
  </si>
  <si>
    <t>2024-03-01</t>
  </si>
  <si>
    <t>C044</t>
  </si>
  <si>
    <t>C045</t>
  </si>
  <si>
    <t>C046</t>
  </si>
  <si>
    <t>C047</t>
  </si>
  <si>
    <t>P08</t>
  </si>
  <si>
    <t>C048</t>
  </si>
  <si>
    <t>2024-02-16</t>
  </si>
  <si>
    <t>C049</t>
  </si>
  <si>
    <t>C050</t>
  </si>
  <si>
    <t>2024-02-29</t>
  </si>
  <si>
    <t>C051</t>
  </si>
  <si>
    <t>2024-02-05</t>
  </si>
  <si>
    <t>C052</t>
  </si>
  <si>
    <t>2024-01-22</t>
  </si>
  <si>
    <t>C053</t>
  </si>
  <si>
    <t>2024-02-14</t>
  </si>
  <si>
    <t>C054</t>
  </si>
  <si>
    <t>C055</t>
  </si>
  <si>
    <t>C056</t>
  </si>
  <si>
    <t>C057</t>
  </si>
  <si>
    <t>2024-02-02</t>
  </si>
  <si>
    <t>C058</t>
  </si>
  <si>
    <t>C059</t>
  </si>
  <si>
    <t>C060</t>
  </si>
  <si>
    <t>2024-01-05</t>
  </si>
  <si>
    <t>C061</t>
  </si>
  <si>
    <t>C062</t>
  </si>
  <si>
    <t>C063</t>
  </si>
  <si>
    <t>2024-01-30</t>
  </si>
  <si>
    <t>C064</t>
  </si>
  <si>
    <t>C065</t>
  </si>
  <si>
    <t>2024-02-25</t>
  </si>
  <si>
    <t>C066</t>
  </si>
  <si>
    <t>2024-02-12</t>
  </si>
  <si>
    <t>C067</t>
  </si>
  <si>
    <t>C068</t>
  </si>
  <si>
    <t>P14</t>
  </si>
  <si>
    <t>C069</t>
  </si>
  <si>
    <t>2024-01-16</t>
  </si>
  <si>
    <t>C070</t>
  </si>
  <si>
    <t>P02</t>
  </si>
  <si>
    <t>C071</t>
  </si>
  <si>
    <t>2024-01-13</t>
  </si>
  <si>
    <t>P99</t>
  </si>
  <si>
    <t>C072</t>
  </si>
  <si>
    <t>C073</t>
  </si>
  <si>
    <t>2024-02-18</t>
  </si>
  <si>
    <t>C074</t>
  </si>
  <si>
    <t>2024-01-29</t>
  </si>
  <si>
    <t>C075</t>
  </si>
  <si>
    <t>2024-02-27</t>
  </si>
  <si>
    <t>C076</t>
  </si>
  <si>
    <t>C077</t>
  </si>
  <si>
    <t>C078</t>
  </si>
  <si>
    <t>2024-01-06</t>
  </si>
  <si>
    <t>C079</t>
  </si>
  <si>
    <t>C080</t>
  </si>
  <si>
    <t>2024-01-21</t>
  </si>
  <si>
    <t>C081</t>
  </si>
  <si>
    <t>2024-01-18</t>
  </si>
  <si>
    <t>XYZ</t>
  </si>
  <si>
    <t>C082</t>
  </si>
  <si>
    <t>C083</t>
  </si>
  <si>
    <t>C084</t>
  </si>
  <si>
    <t>C085</t>
  </si>
  <si>
    <t>C086</t>
  </si>
  <si>
    <t>C087</t>
  </si>
  <si>
    <t>C088</t>
  </si>
  <si>
    <t>C089</t>
  </si>
  <si>
    <t>C090</t>
  </si>
  <si>
    <t>C091</t>
  </si>
  <si>
    <t>Done</t>
  </si>
  <si>
    <t>C092</t>
  </si>
  <si>
    <t>C093</t>
  </si>
  <si>
    <t>C094</t>
  </si>
  <si>
    <t>2024-01-17</t>
  </si>
  <si>
    <t>C095</t>
  </si>
  <si>
    <t>C096</t>
  </si>
  <si>
    <t>C097</t>
  </si>
  <si>
    <t>C098</t>
  </si>
  <si>
    <t>C099</t>
  </si>
  <si>
    <t>C100</t>
  </si>
  <si>
    <t>C101</t>
  </si>
  <si>
    <t>Processing</t>
  </si>
  <si>
    <t>C102</t>
  </si>
  <si>
    <t>C103</t>
  </si>
  <si>
    <t>C104</t>
  </si>
  <si>
    <t>C105</t>
  </si>
  <si>
    <t>2024-02-28</t>
  </si>
  <si>
    <t>C106</t>
  </si>
  <si>
    <t>C107</t>
  </si>
  <si>
    <t>2024-01-15</t>
  </si>
  <si>
    <t>C108</t>
  </si>
  <si>
    <t>C109</t>
  </si>
  <si>
    <t>C110</t>
  </si>
  <si>
    <t>C111</t>
  </si>
  <si>
    <t>2024-13-01</t>
  </si>
  <si>
    <t>C112</t>
  </si>
  <si>
    <t>C113</t>
  </si>
  <si>
    <t>C114</t>
  </si>
  <si>
    <t>C115</t>
  </si>
  <si>
    <t>C116</t>
  </si>
  <si>
    <t>C117</t>
  </si>
  <si>
    <t>C118</t>
  </si>
  <si>
    <t>C119</t>
  </si>
  <si>
    <t>C120</t>
  </si>
  <si>
    <t>C121</t>
  </si>
  <si>
    <t>C122</t>
  </si>
  <si>
    <t>C123</t>
  </si>
  <si>
    <t>C124</t>
  </si>
  <si>
    <t>C125</t>
  </si>
  <si>
    <t>C126</t>
  </si>
  <si>
    <t>C127</t>
  </si>
  <si>
    <t>C128</t>
  </si>
  <si>
    <t>C129</t>
  </si>
  <si>
    <t>C130</t>
  </si>
  <si>
    <t>C131</t>
  </si>
  <si>
    <t>india</t>
  </si>
  <si>
    <t>C132</t>
  </si>
  <si>
    <t>C133</t>
  </si>
  <si>
    <t>C134</t>
  </si>
  <si>
    <t>C135</t>
  </si>
  <si>
    <t>C136</t>
  </si>
  <si>
    <t>C137</t>
  </si>
  <si>
    <t>C138</t>
  </si>
  <si>
    <t>C139</t>
  </si>
  <si>
    <t>C140</t>
  </si>
  <si>
    <t>C141</t>
  </si>
  <si>
    <t>U.S.A</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</si>
  <si>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</si>
  <si>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</si>
  <si>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</si>
  <si>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</si>
  <si>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</si>
  <si>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</si>
  <si>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</si>
  <si>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</si>
  <si>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</si>
  <si>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</si>
  <si>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</si>
  <si>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</si>
  <si>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</si>
  <si>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</si>
  <si>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</si>
  <si>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</si>
  <si>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</si>
  <si>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</si>
  <si>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</si>
  <si>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</si>
  <si>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</si>
  <si>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</si>
  <si>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</si>
  <si>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</si>
  <si>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</si>
  <si>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</si>
  <si>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</si>
  <si>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</si>
  <si>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</si>
  <si>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</si>
  <si>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</si>
  <si>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</si>
  <si>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</si>
  <si>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</si>
  <si>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</si>
  <si>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</si>
  <si>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</si>
  <si>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</si>
  <si>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</si>
  <si>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</si>
  <si>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</si>
  <si>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</si>
  <si>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</si>
  <si>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2024-01-08</t>
  </si>
  <si>
    <t>C185</t>
  </si>
  <si>
    <t>C186</t>
  </si>
  <si>
    <t>C187</t>
  </si>
  <si>
    <t>C188</t>
  </si>
  <si>
    <t>C189</t>
  </si>
  <si>
    <t>C190</t>
  </si>
  <si>
    <t>C191</t>
  </si>
  <si>
    <t>C192</t>
  </si>
  <si>
    <t>C193</t>
  </si>
  <si>
    <t>C194</t>
  </si>
  <si>
    <t>C195</t>
  </si>
  <si>
    <t>C196</t>
  </si>
  <si>
    <t>C197</t>
  </si>
  <si>
    <t>C198</t>
  </si>
  <si>
    <t>C199</t>
  </si>
  <si>
    <t>C200</t>
  </si>
  <si>
    <t>C201</t>
  </si>
  <si>
    <t>C202</t>
  </si>
  <si>
    <t>2024-02-24</t>
  </si>
  <si>
    <t>C203</t>
  </si>
  <si>
    <t>C204</t>
  </si>
  <si>
    <t>C205</t>
  </si>
  <si>
    <t>C206</t>
  </si>
  <si>
    <t>C207</t>
  </si>
  <si>
    <t>C208</t>
  </si>
  <si>
    <t>C209</t>
  </si>
  <si>
    <t>C210</t>
  </si>
  <si>
    <t>C211</t>
  </si>
  <si>
    <t>C212</t>
  </si>
  <si>
    <t>C213</t>
  </si>
  <si>
    <t>C214</t>
  </si>
  <si>
    <t>C215</t>
  </si>
  <si>
    <t>C216</t>
  </si>
  <si>
    <t>C217</t>
  </si>
  <si>
    <t>C218</t>
  </si>
  <si>
    <t>2024-02-01</t>
  </si>
  <si>
    <t>C219</t>
  </si>
  <si>
    <t>C220</t>
  </si>
  <si>
    <t>C221</t>
  </si>
  <si>
    <t>C222</t>
  </si>
  <si>
    <t>C223</t>
  </si>
  <si>
    <t>C224</t>
  </si>
  <si>
    <t>C225</t>
  </si>
  <si>
    <t>C226</t>
  </si>
  <si>
    <t>C227</t>
  </si>
  <si>
    <t>C228</t>
  </si>
  <si>
    <t>C229</t>
  </si>
  <si>
    <t>C230</t>
  </si>
  <si>
    <t>C231</t>
  </si>
  <si>
    <t>C232</t>
  </si>
  <si>
    <t>C233</t>
  </si>
  <si>
    <t>C234</t>
  </si>
  <si>
    <t>C235</t>
  </si>
  <si>
    <t>C236</t>
  </si>
  <si>
    <t>2024-01-04</t>
  </si>
  <si>
    <t>C237</t>
  </si>
  <si>
    <t>C238</t>
  </si>
  <si>
    <t>C239</t>
  </si>
  <si>
    <t>C240</t>
  </si>
  <si>
    <t>C241</t>
  </si>
  <si>
    <t>C242</t>
  </si>
  <si>
    <t>C243</t>
  </si>
  <si>
    <t>C244</t>
  </si>
  <si>
    <t>C245</t>
  </si>
  <si>
    <t>C246</t>
  </si>
  <si>
    <t>C247</t>
  </si>
  <si>
    <t>C248</t>
  </si>
  <si>
    <t>C249</t>
  </si>
  <si>
    <t>C250</t>
  </si>
  <si>
    <t>Product_Name</t>
  </si>
  <si>
    <t>Product_P01</t>
  </si>
  <si>
    <t>Product_P02</t>
  </si>
  <si>
    <t>Product_P03</t>
  </si>
  <si>
    <t>Product_P04</t>
  </si>
  <si>
    <t>Product_P05</t>
  </si>
  <si>
    <t>Product_P06</t>
  </si>
  <si>
    <t>Product_P07</t>
  </si>
  <si>
    <t>Product_P08</t>
  </si>
  <si>
    <t>Product_P09</t>
  </si>
  <si>
    <t>Product_P10</t>
  </si>
  <si>
    <t>Product_P11</t>
  </si>
  <si>
    <t>Product_P12</t>
  </si>
  <si>
    <t>Product_P13</t>
  </si>
  <si>
    <t>Product_P14</t>
  </si>
  <si>
    <t>Product_P15</t>
  </si>
  <si>
    <t>1. Identify duplicate Order_ID records.</t>
  </si>
  <si>
    <t>2. Identify revenue mismatches (Total_Revenue != Quantity * Unit_Price).</t>
  </si>
  <si>
    <t>3. Identify negative Quantity values.</t>
  </si>
  <si>
    <t>4. Detect missing values across all columns.</t>
  </si>
  <si>
    <t>5. Identify invalid Order_Date entries.</t>
  </si>
  <si>
    <t>6. Standardize inconsistent Country values.</t>
  </si>
  <si>
    <t>7. Validate Status column (Allowed: Completed, Pending, Cancelled).</t>
  </si>
  <si>
    <t>8. Validate Product_ID using lookup against Product_Master.</t>
  </si>
  <si>
    <t>9. Count total UNIQUE problematic rows (avoid double counting).</t>
  </si>
  <si>
    <t>10. Calculate overall row-level error rate.</t>
  </si>
  <si>
    <t>11. Calculate column-level error rate for Quantity.</t>
  </si>
  <si>
    <t>12. Create Pivot Table: Revenue by Country.</t>
  </si>
  <si>
    <t>13. Create Pivot Table: Orders by Status.</t>
  </si>
  <si>
    <t>Issue</t>
  </si>
  <si>
    <t>Impact</t>
  </si>
  <si>
    <t>Leads to incorrect financial reporting and revenue misstatement.</t>
  </si>
  <si>
    <t>Leads to incorrect product sales reporting and revenue misstatement</t>
  </si>
  <si>
    <t>Negative Quantity values detected in 2 records.</t>
  </si>
  <si>
    <t>May cause errors in date-based filtering, grouping, and time-series analysis.</t>
  </si>
  <si>
    <t>Causes fragmented aggregation in country-level analysis and inaccurate reporting.</t>
  </si>
  <si>
    <t>Action Taken</t>
  </si>
  <si>
    <t>May cause incorrect status-based reporting and workflow misclassification.</t>
  </si>
  <si>
    <t>Revenue_Check</t>
  </si>
  <si>
    <t>Date_Check</t>
  </si>
  <si>
    <t>Product_Validation2</t>
  </si>
  <si>
    <t>Order_Validation</t>
  </si>
  <si>
    <t>Country_Validation</t>
  </si>
  <si>
    <t>Row_Issues</t>
  </si>
  <si>
    <t>May distort product sales volume and revenue calculations if not aligned with business rules.</t>
  </si>
  <si>
    <t>Unique Problematic Rows: 10</t>
  </si>
  <si>
    <t>Overall Row-Level Error Rate: 4%</t>
  </si>
  <si>
    <t>Grand Total</t>
  </si>
  <si>
    <t>Row Labels</t>
  </si>
  <si>
    <t>Count of Order_ID</t>
  </si>
  <si>
    <t>CANADA</t>
  </si>
  <si>
    <t>INDIA</t>
  </si>
  <si>
    <t>These records may result in incorrect product-level reporting, 
revenue misclassification, and broken referential integrity 
between transactional and master data.</t>
  </si>
  <si>
    <t>This compromises transaction uniqueness and may
 result in incorrect revenue aggregation and reporting inconsistencies.</t>
  </si>
  <si>
    <t>These inconsistencies may lead to inaccurate revenue reporting,
 duplicate transaction counting, incorrect product-level aggregation,
 and unreliable sales and financial reporting.</t>
  </si>
  <si>
    <t>Approximately 4% of transactions contain at least one data quality issue,
 which may affect revenue reporting, product aggregation, and financial accuracy.</t>
  </si>
  <si>
    <t>Order_ID 1006 and 1016 appears in multiple records 
with conflicting transaction details (different customer,
 date, quantity, and country).</t>
  </si>
  <si>
    <t>6 records where Total_Revenue does not 
equal Quantity × Unit_Price.</t>
  </si>
  <si>
    <t>3 records are detected with missing
 value 1 order date and 2 Unit Price</t>
  </si>
  <si>
    <t>Order_Date column contains values stored as 
text instead of proper date format (249 records affected).</t>
  </si>
  <si>
    <t>Country column contained inconsistent representations
 (e.g., "india", "U.S.A", "Uk", trailing spaces).</t>
  </si>
  <si>
    <t>Status column contains values outside the allowed set 
(e.g., "Done", "Processing").</t>
  </si>
  <si>
    <t>2 records contain Product_ID values not found in 
the Product_Master reference table.</t>
  </si>
  <si>
    <t>10 unique rows were identified with at least one data quality issue 
(including revenue mismatch, duplicate Order_ID, invalid 
Product_ID, missing values, or invalid date).</t>
  </si>
  <si>
    <t>Total Rows Analyzed: 250, Unique Problematic Rows: 10,
Overall Row-Level Error Rate: 4%</t>
  </si>
  <si>
    <t>2 records contain invalid Quantity values (negative entries). 
Column-Level Error Rate (Quantity): 0.8%</t>
  </si>
  <si>
    <t>Investigate source system for ID reuse or data merge errors and 
enforce uniqueness constraint on Order_ID.</t>
  </si>
  <si>
    <t>Recalculate revenue using standardized formula and validate
 mismatched transactions against source data.</t>
  </si>
  <si>
    <t>Validate whether negative quantities represent legitimate returns/cancellations. I
f not permitted by business rules, enforce positive-only quantity validation.</t>
  </si>
  <si>
    <t>Validate missing fields against source records and implement mandatory field 
checks to prevent null values in critical columns.</t>
  </si>
  <si>
    <t>Standardize Order_Date to valid date format during ingestion and enforce 
strict date validation controls.</t>
  </si>
  <si>
    <t>Implement dropdown validation or reference mapping during data entry to 
prevent inconsistent country inputs.</t>
  </si>
  <si>
    <t>Restrict Status column using dropdown validation limited to Completed, Pending, 
and Cancelled.</t>
  </si>
  <si>
    <t>Enforce referential integrity by validating Product_ID against the master reference 
during data ingestion and restrict entry to approved product list.</t>
  </si>
  <si>
    <t>Perform validation against source systems to correct erroneous records before reporting. 
Implement automated data validation rules at ingestion stage to prevent duplicate entries, 
invalid references, and incomplete records from entering the dataset.</t>
  </si>
  <si>
    <t>Implement automated validation controls during data ingestion to reduce transaction-level 
errors and strengthen data integrity.</t>
  </si>
  <si>
    <t>Validate whether negative quantities represent legitimate returns. If not, enforce positive-only 
quantity validation at data entry.</t>
  </si>
  <si>
    <t>Standardized country values using TRIM and 
controlled mapping logic to ensure uniform formatting.</t>
  </si>
  <si>
    <t>Validated Product_ID values using lookup against
Product_Master and flagged unmatched entries.</t>
  </si>
  <si>
    <t>Tasks</t>
  </si>
  <si>
    <t>Recommendation</t>
  </si>
  <si>
    <t>Executive Summary</t>
  </si>
  <si>
    <t>Total Records Analyzed: 250</t>
  </si>
  <si>
    <t>Quantity Column Error Rate: 0.8%</t>
  </si>
  <si>
    <t>Overall Data Quality Assessment:</t>
  </si>
  <si>
    <t>Moderate data integrity issues identified requiring validation before reporting.</t>
  </si>
  <si>
    <t>Category</t>
  </si>
  <si>
    <t>Records Affected</t>
  </si>
  <si>
    <t>Risk Level</t>
  </si>
  <si>
    <t>Duplicate Order_ID</t>
  </si>
  <si>
    <t>High</t>
  </si>
  <si>
    <t>Revenue Mismatch</t>
  </si>
  <si>
    <t>Invalid Product_ID</t>
  </si>
  <si>
    <t>Missing Critical Fields</t>
  </si>
  <si>
    <t>Invalid Date Format</t>
  </si>
  <si>
    <t>Medium</t>
  </si>
  <si>
    <t>Negative Quantity</t>
  </si>
  <si>
    <t>Implement automated validation controls at ingestion stage.</t>
  </si>
  <si>
    <t>Enforce referential integrity between transactional and master data.</t>
  </si>
  <si>
    <t>Apply mandatory field validation for critical attributes.</t>
  </si>
  <si>
    <t>Implement reconciliation logic for revenue calculation.</t>
  </si>
  <si>
    <t>Standardize categorical fields using controlled reference mapping.</t>
  </si>
  <si>
    <t>Recommendations</t>
  </si>
  <si>
    <t>High-Level Issues Summary</t>
  </si>
  <si>
    <t>Revenue distribution across countries was unstructured and not 
summarized for reporting</t>
  </si>
  <si>
    <t>Order status distribution was not summarized, making it difficult 
to assess operational pipeline health.</t>
  </si>
  <si>
    <t>Without aggregation, country-level revenue contribution cannot be assessed, leading 
to incomplete financial reporting</t>
  </si>
  <si>
    <t>Create a Pivot Table summarizing Total Revenue by Country to enable regional performance 
comparison.</t>
  </si>
  <si>
    <t>Without status aggregation, invalid status values (Done, Processing) remain hidden 
and unquantified in reporting.</t>
  </si>
  <si>
    <t>Create a Pivot Table summarizing Order Count by Status to identify valid vs invalid
 status entries.</t>
  </si>
  <si>
    <t>Leads to Revenue misstatement, sales and finance reporting</t>
  </si>
  <si>
    <t>Identified duplicate IDs and flagged affected records.</t>
  </si>
  <si>
    <t>Recalculated revenue and flagged mismatched entries.</t>
  </si>
  <si>
    <t>Filtered and quantified negative quantity records.</t>
  </si>
  <si>
    <t>Detected and documented records with missing critical 
fields.</t>
  </si>
  <si>
    <t>Validated date format and identified text-based entries.</t>
  </si>
  <si>
    <t>Validated Status against allowed values and flagged 
exceptions.</t>
  </si>
  <si>
    <t>Calculated error rate using problematic rows over total 
records.</t>
  </si>
  <si>
    <t>Computed column-level error rate for Quantity.</t>
  </si>
  <si>
    <t>Created Pivot summarizing revenue by country.</t>
  </si>
  <si>
    <t>Created Pivot summarizing order count by status.</t>
  </si>
  <si>
    <t>Count of 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</si>
</sst>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4" x14ac:knownFonts="1">
    <font>
      <sz val="11"/>
      <color theme="1"/>
      <name val="Calibri"/>
      <family val="2"/>
      <scheme val="minor"/>
    </font>
    <font>
      <b/>
      <sz val="11"/>
      <name val="Calibri"/>
      <family val="2"/>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64" fontId="1" fillId="0" borderId="0" xfId="0" applyNumberFormat="1" applyFont="1"/>
    <xf numFmtId="164" fontId="0" fillId="0" borderId="0" xfId="0" applyNumberFormat="1"/>
    <xf numFmtId="2" fontId="0" fillId="0" borderId="0" xfId="0" applyNumberFormat="1"/>
    <xf numFmtId="14" fontId="0" fillId="0" borderId="0" xfId="0" applyNumberFormat="1"/>
    <xf numFmtId="14" fontId="1" fillId="0" borderId="0" xfId="0" applyNumberFormat="1" applyFont="1"/>
    <xf numFmtId="2"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wrapText="1"/>
    </xf>
    <xf numFmtId="0" fontId="2" fillId="0" borderId="0" xfId="0" applyFont="1"/>
    <xf numFmtId="0" fontId="2" fillId="0" borderId="0" xfId="0" applyFont="1" applyAlignment="1">
      <alignment horizontal="center" vertical="center"/>
    </xf>
    <xf numFmtId="0" fontId="0" fillId="0" borderId="0" xfId="0" applyAlignment="1">
      <alignment vertical="center"/>
    </xf>
    <xf numFmtId="0" fontId="0" fillId="0" borderId="0" xfId="0" applyNumberFormat="1"/>
  </cellXfs>
  <cellStyles count="1">
    <cellStyle name="Normal" xfId="0" builtinId="0"/>
  </cellStyles>
  <dxfs count="16">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9" formatCode="m/d/yyyy"/>
    </dxf>
    <dxf>
      <numFmt numFmtId="19" formatCode="m/d/yyyy"/>
    </dxf>
    <dxf>
      <font>
        <b/>
        <i val="0"/>
        <strike val="0"/>
        <condense val="0"/>
        <extend val="0"/>
        <outline val="0"/>
        <shadow val="0"/>
        <u val="none"/>
        <vertAlign val="baseline"/>
        <sz val="11"/>
        <color auto="1"/>
        <name val="Calibri"/>
        <family val="2"/>
        <scheme val="none"/>
      </font>
    </dxf>
  </dxfs>
  <tableStyles count="1" defaultTableStyle="TableStyleMedium9" defaultPivotStyle="PivotStyleLight16">
    <tableStyle name="Invisible" pivot="0" table="0" count="0" xr9:uid="{205662D7-51AC-4C69-ACF6-11A12A6C2AB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J COMPUTERS" refreshedDate="46077.867569444446" createdVersion="8" refreshedVersion="8" minRefreshableVersion="3" recordCount="250" xr:uid="{4CF1DF39-3333-4E13-9162-393A574AD030}">
  <cacheSource type="worksheet">
    <worksheetSource name="Table1"/>
  </cacheSource>
  <cacheFields count="15">
    <cacheField name="Order_ID" numFmtId="0">
      <sharedItems containsSemiMixedTypes="0" containsString="0" containsNumber="1" containsInteger="1" minValue="1001" maxValue="1250"/>
    </cacheField>
    <cacheField name="Customer_ID" numFmtId="0">
      <sharedItems/>
    </cacheField>
    <cacheField name="Order_Date" numFmtId="14">
      <sharedItems containsDate="1" containsBlank="1" containsMixedTypes="1" minDate="2024-02-04T00:00:00" maxDate="2024-02-05T00:00:00"/>
    </cacheField>
    <cacheField name="Product_ID" numFmtId="0">
      <sharedItems/>
    </cacheField>
    <cacheField name="Quantity" numFmtId="2">
      <sharedItems containsSemiMixedTypes="0" containsString="0" containsNumber="1" containsInteger="1" minValue="-2" maxValue="5"/>
    </cacheField>
    <cacheField name="Unit_Price" numFmtId="164">
      <sharedItems containsString="0" containsBlank="1" containsNumber="1" containsInteger="1" minValue="569" maxValue="9851"/>
    </cacheField>
    <cacheField name="Total_Revenue" numFmtId="164">
      <sharedItems containsSemiMixedTypes="0" containsString="0" containsNumber="1" containsInteger="1" minValue="778" maxValue="49255"/>
    </cacheField>
    <cacheField name="Country" numFmtId="0">
      <sharedItems/>
    </cacheField>
    <cacheField name="Status" numFmtId="0">
      <sharedItems count="5">
        <s v="Completed"/>
        <s v="Cancelled"/>
        <s v="Pending"/>
        <s v="Done"/>
        <s v="Processing"/>
      </sharedItems>
    </cacheField>
    <cacheField name="Revenue_Check" numFmtId="0">
      <sharedItems/>
    </cacheField>
    <cacheField name="Date_Check" numFmtId="0">
      <sharedItems/>
    </cacheField>
    <cacheField name="Country_Validation" numFmtId="0">
      <sharedItems count="5">
        <s v="INDIA"/>
        <s v="CANADA"/>
        <s v="USA"/>
        <s v="UK"/>
        <s v="U.S.A" u="1"/>
      </sharedItems>
    </cacheField>
    <cacheField name="Order_Validation" numFmtId="0">
      <sharedItems/>
    </cacheField>
    <cacheField name="Product_Validation2" numFmtId="0">
      <sharedItems/>
    </cacheField>
    <cacheField name="Row_Issu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001"/>
    <s v="C001"/>
    <s v="2024-02-07"/>
    <s v="P05"/>
    <n v="3"/>
    <n v="9325"/>
    <n v="27975"/>
    <s v="India"/>
    <x v="0"/>
    <s v="Ok"/>
    <b v="0"/>
    <x v="0"/>
    <s v="Valid"/>
    <s v="P05"/>
    <s v="Clean"/>
  </r>
  <r>
    <n v="1002"/>
    <s v="C002"/>
    <s v="2024-02-03"/>
    <s v="P07"/>
    <n v="4"/>
    <n v="5029"/>
    <n v="20116"/>
    <s v="Canada"/>
    <x v="1"/>
    <s v="Ok"/>
    <b v="0"/>
    <x v="1"/>
    <s v="Valid"/>
    <s v="P07"/>
    <s v="Clean"/>
  </r>
  <r>
    <n v="1003"/>
    <s v="C003"/>
    <s v="2024-01-07"/>
    <s v="P15"/>
    <n v="3"/>
    <n v="2919"/>
    <n v="8757"/>
    <s v="USA"/>
    <x v="1"/>
    <s v="Ok"/>
    <b v="0"/>
    <x v="2"/>
    <s v="Valid"/>
    <s v="P15"/>
    <s v="Clean"/>
  </r>
  <r>
    <n v="1004"/>
    <s v="C004"/>
    <s v="2024-01-10"/>
    <s v="P09"/>
    <n v="3"/>
    <n v="6250"/>
    <n v="18750"/>
    <s v="UK"/>
    <x v="1"/>
    <s v="Ok"/>
    <b v="0"/>
    <x v="3"/>
    <s v="Valid"/>
    <s v="P09"/>
    <s v="Clean"/>
  </r>
  <r>
    <n v="1005"/>
    <s v="C005"/>
    <d v="2024-02-04T00:00:00"/>
    <s v="P13"/>
    <n v="3"/>
    <n v="895"/>
    <n v="2685"/>
    <s v="USA"/>
    <x v="0"/>
    <s v="Ok"/>
    <b v="1"/>
    <x v="2"/>
    <s v="Valid"/>
    <s v="P13"/>
    <s v="Clean"/>
  </r>
  <r>
    <n v="1006"/>
    <s v="C006"/>
    <s v="2024-02-08"/>
    <s v="P04"/>
    <n v="1"/>
    <n v="9361"/>
    <n v="9361"/>
    <s v="USA"/>
    <x v="1"/>
    <s v="Ok"/>
    <b v="0"/>
    <x v="2"/>
    <s v="Valid"/>
    <s v="P04"/>
    <s v="Clean"/>
  </r>
  <r>
    <n v="1007"/>
    <s v="C007"/>
    <s v="2024-01-27"/>
    <s v="P10"/>
    <n v="1"/>
    <n v="2619"/>
    <n v="2619"/>
    <s v="India"/>
    <x v="0"/>
    <s v="Ok"/>
    <b v="0"/>
    <x v="0"/>
    <s v="Valid"/>
    <s v="P10"/>
    <s v="Clean"/>
  </r>
  <r>
    <n v="1008"/>
    <s v="C008"/>
    <s v="2024-01-02"/>
    <s v="P13"/>
    <n v="4"/>
    <n v="1067"/>
    <n v="4268"/>
    <s v="USA"/>
    <x v="1"/>
    <s v="Ok"/>
    <b v="0"/>
    <x v="2"/>
    <s v="Valid"/>
    <s v="P13"/>
    <s v="Clean"/>
  </r>
  <r>
    <n v="1009"/>
    <s v="C009"/>
    <s v="2024-01-27"/>
    <s v="P12"/>
    <n v="3"/>
    <n v="8351"/>
    <n v="25053"/>
    <s v="India"/>
    <x v="1"/>
    <s v="Ok"/>
    <b v="0"/>
    <x v="0"/>
    <s v="Valid"/>
    <s v="P12"/>
    <s v="Clean"/>
  </r>
  <r>
    <n v="1010"/>
    <s v="C010"/>
    <s v="2024-01-12"/>
    <s v="P07"/>
    <n v="5"/>
    <n v="1265"/>
    <n v="6325"/>
    <s v="Canada"/>
    <x v="0"/>
    <s v="Ok"/>
    <b v="0"/>
    <x v="1"/>
    <s v="Valid"/>
    <s v="P07"/>
    <s v="Clean"/>
  </r>
  <r>
    <n v="1006"/>
    <s v="C011"/>
    <s v="2024-01-31"/>
    <s v="P11"/>
    <n v="5"/>
    <n v="3635"/>
    <n v="18175"/>
    <s v="Canada"/>
    <x v="1"/>
    <s v="Ok"/>
    <b v="0"/>
    <x v="1"/>
    <s v="Valid"/>
    <s v="P11"/>
    <s v="Clean"/>
  </r>
  <r>
    <n v="1012"/>
    <s v="C012"/>
    <s v="2024-02-10"/>
    <s v="P10"/>
    <n v="4"/>
    <n v="9598"/>
    <n v="38392"/>
    <s v="India"/>
    <x v="1"/>
    <s v="Ok"/>
    <b v="0"/>
    <x v="0"/>
    <s v="Valid"/>
    <s v="P10"/>
    <s v="Clean"/>
  </r>
  <r>
    <n v="1013"/>
    <s v="C013"/>
    <s v="2024-01-28"/>
    <s v="P13"/>
    <n v="2"/>
    <n v="849"/>
    <n v="1698"/>
    <s v="USA"/>
    <x v="1"/>
    <s v="Ok"/>
    <b v="0"/>
    <x v="2"/>
    <s v="Valid"/>
    <s v="P13"/>
    <s v="Clean"/>
  </r>
  <r>
    <n v="1014"/>
    <s v="C014"/>
    <s v="2024-01-20"/>
    <s v="P01"/>
    <n v="1"/>
    <n v="9757"/>
    <n v="9757"/>
    <s v="India"/>
    <x v="1"/>
    <s v="Ok"/>
    <b v="0"/>
    <x v="0"/>
    <s v="Valid"/>
    <s v="P01"/>
    <s v="Clean"/>
  </r>
  <r>
    <n v="1015"/>
    <s v="C015"/>
    <s v="2024-01-28"/>
    <s v="P07"/>
    <n v="1"/>
    <n v="5954"/>
    <n v="5954"/>
    <s v="USA"/>
    <x v="1"/>
    <s v="Ok"/>
    <b v="0"/>
    <x v="2"/>
    <s v="Valid"/>
    <s v="P07"/>
    <s v="Clean"/>
  </r>
  <r>
    <n v="1016"/>
    <s v="C016"/>
    <s v="2024-01-19"/>
    <s v="P07"/>
    <n v="3"/>
    <n v="7346"/>
    <n v="22038"/>
    <s v="USA"/>
    <x v="2"/>
    <s v="Ok"/>
    <b v="0"/>
    <x v="2"/>
    <s v="Valid"/>
    <s v="P07"/>
    <s v="Clean"/>
  </r>
  <r>
    <n v="1017"/>
    <s v="C017"/>
    <s v="2024-01-28"/>
    <s v="P11"/>
    <n v="5"/>
    <n v="9189"/>
    <n v="45945"/>
    <s v="India"/>
    <x v="1"/>
    <s v="Ok"/>
    <b v="0"/>
    <x v="0"/>
    <s v="Valid"/>
    <s v="P11"/>
    <s v="Clean"/>
  </r>
  <r>
    <n v="1018"/>
    <s v="C018"/>
    <s v="2024-02-11"/>
    <s v="P03"/>
    <n v="5"/>
    <n v="9794"/>
    <n v="48970"/>
    <s v="Canada"/>
    <x v="1"/>
    <s v="Ok"/>
    <b v="0"/>
    <x v="1"/>
    <s v="Valid"/>
    <s v="P03"/>
    <s v="Clean"/>
  </r>
  <r>
    <n v="1019"/>
    <s v="C019"/>
    <s v="2024-02-19"/>
    <s v="P09"/>
    <n v="1"/>
    <n v="9850"/>
    <n v="9850"/>
    <s v="Canada"/>
    <x v="0"/>
    <s v="Ok"/>
    <b v="0"/>
    <x v="1"/>
    <s v="Valid"/>
    <s v="P09"/>
    <s v="Clean"/>
  </r>
  <r>
    <n v="1020"/>
    <s v="C020"/>
    <s v="2024-02-23"/>
    <s v="P05"/>
    <n v="3"/>
    <n v="8993"/>
    <n v="26979"/>
    <s v="UK"/>
    <x v="0"/>
    <s v="Ok"/>
    <b v="0"/>
    <x v="3"/>
    <s v="Valid"/>
    <s v="P05"/>
    <s v="Clean"/>
  </r>
  <r>
    <n v="1016"/>
    <s v="C021"/>
    <s v="2024-01-27"/>
    <s v="P10"/>
    <n v="3"/>
    <n v="755"/>
    <n v="2265"/>
    <s v="USA"/>
    <x v="2"/>
    <s v="Ok"/>
    <b v="0"/>
    <x v="2"/>
    <s v="Valid"/>
    <s v="P10"/>
    <s v="Clean"/>
  </r>
  <r>
    <n v="1022"/>
    <s v="C022"/>
    <s v="2024-02-13"/>
    <s v="P09"/>
    <n v="2"/>
    <n v="2159"/>
    <n v="4318"/>
    <s v="India"/>
    <x v="0"/>
    <s v="Ok"/>
    <b v="0"/>
    <x v="0"/>
    <s v="Valid"/>
    <s v="P09"/>
    <s v="Clean"/>
  </r>
  <r>
    <n v="1023"/>
    <s v="C023"/>
    <s v="2024-02-15"/>
    <s v="P03"/>
    <n v="2"/>
    <n v="2558"/>
    <n v="5116"/>
    <s v="India"/>
    <x v="1"/>
    <s v="Ok"/>
    <b v="0"/>
    <x v="0"/>
    <s v="Valid"/>
    <s v="P03"/>
    <s v="Clean"/>
  </r>
  <r>
    <n v="1024"/>
    <s v="C024"/>
    <s v="2024-02-11"/>
    <s v="P11"/>
    <n v="2"/>
    <n v="4541"/>
    <n v="9082"/>
    <s v="Canada"/>
    <x v="2"/>
    <s v="Ok"/>
    <b v="0"/>
    <x v="1"/>
    <s v="Valid"/>
    <s v="P11"/>
    <s v="Clean"/>
  </r>
  <r>
    <n v="1025"/>
    <s v="C025"/>
    <s v="2024-02-21"/>
    <s v="P01"/>
    <n v="1"/>
    <n v="4053"/>
    <n v="4053"/>
    <s v="Canada"/>
    <x v="1"/>
    <s v="Ok"/>
    <b v="0"/>
    <x v="1"/>
    <s v="Valid"/>
    <s v="P01"/>
    <s v="Clean"/>
  </r>
  <r>
    <n v="1026"/>
    <s v="C026"/>
    <s v="2024-02-20"/>
    <s v="P04"/>
    <n v="1"/>
    <n v="2421"/>
    <n v="2421"/>
    <s v="UK"/>
    <x v="1"/>
    <s v="Ok"/>
    <b v="0"/>
    <x v="3"/>
    <s v="Valid"/>
    <s v="P04"/>
    <s v="Clean"/>
  </r>
  <r>
    <n v="1027"/>
    <s v="C027"/>
    <s v="2024-01-01"/>
    <s v="P05"/>
    <n v="2"/>
    <n v="4027"/>
    <n v="8054"/>
    <s v="India"/>
    <x v="1"/>
    <s v="Ok"/>
    <b v="0"/>
    <x v="0"/>
    <s v="Valid"/>
    <s v="P05"/>
    <s v="Clean"/>
  </r>
  <r>
    <n v="1028"/>
    <s v="C028"/>
    <s v="2024-01-24"/>
    <s v="P01"/>
    <n v="5"/>
    <n v="3372"/>
    <n v="16860"/>
    <s v="Canada"/>
    <x v="0"/>
    <s v="Ok"/>
    <b v="0"/>
    <x v="1"/>
    <s v="Valid"/>
    <s v="P01"/>
    <s v="Clean"/>
  </r>
  <r>
    <n v="1029"/>
    <s v="C029"/>
    <s v="2024-02-09"/>
    <s v="P15"/>
    <n v="5"/>
    <n v="625"/>
    <n v="3125"/>
    <s v="UK"/>
    <x v="1"/>
    <s v="Ok"/>
    <b v="0"/>
    <x v="3"/>
    <s v="Valid"/>
    <s v="P15"/>
    <s v="Clean"/>
  </r>
  <r>
    <n v="1030"/>
    <s v="C030"/>
    <s v="2024-01-31"/>
    <s v="P06"/>
    <n v="3"/>
    <n v="9568"/>
    <n v="28704"/>
    <s v="India"/>
    <x v="0"/>
    <s v="Ok"/>
    <b v="0"/>
    <x v="0"/>
    <s v="Valid"/>
    <s v="P06"/>
    <s v="Clean"/>
  </r>
  <r>
    <n v="1031"/>
    <s v="C031"/>
    <s v="2024-02-26"/>
    <s v="P04"/>
    <n v="5"/>
    <n v="1724"/>
    <n v="9120"/>
    <s v="USA"/>
    <x v="0"/>
    <s v="Mismatch"/>
    <b v="0"/>
    <x v="2"/>
    <s v="Valid"/>
    <s v="P04"/>
    <s v="Problem"/>
  </r>
  <r>
    <n v="1032"/>
    <s v="C032"/>
    <s v="2024-01-25"/>
    <s v="P10"/>
    <n v="1"/>
    <n v="3380"/>
    <n v="3380"/>
    <s v="Canada"/>
    <x v="1"/>
    <s v="Ok"/>
    <b v="0"/>
    <x v="1"/>
    <s v="Valid"/>
    <s v="P10"/>
    <s v="Clean"/>
  </r>
  <r>
    <n v="1033"/>
    <s v="C033"/>
    <s v="2024-02-22"/>
    <s v="P12"/>
    <n v="5"/>
    <n v="2772"/>
    <n v="13860"/>
    <s v="UK"/>
    <x v="2"/>
    <s v="Ok"/>
    <b v="0"/>
    <x v="3"/>
    <s v="Valid"/>
    <s v="P12"/>
    <s v="Clean"/>
  </r>
  <r>
    <n v="1034"/>
    <s v="C034"/>
    <s v="2024-02-17"/>
    <s v="P10"/>
    <n v="2"/>
    <n v="2474"/>
    <n v="4948"/>
    <s v="Canada"/>
    <x v="2"/>
    <s v="Ok"/>
    <b v="0"/>
    <x v="1"/>
    <s v="Valid"/>
    <s v="P10"/>
    <s v="Clean"/>
  </r>
  <r>
    <n v="1035"/>
    <s v="C035"/>
    <s v="2024-01-03"/>
    <s v="P06"/>
    <n v="3"/>
    <n v="845"/>
    <n v="2535"/>
    <s v="UK"/>
    <x v="0"/>
    <s v="Ok"/>
    <b v="0"/>
    <x v="3"/>
    <s v="Valid"/>
    <s v="P06"/>
    <s v="Clean"/>
  </r>
  <r>
    <n v="1036"/>
    <s v="C036"/>
    <s v="2024-01-02"/>
    <s v="P12"/>
    <n v="2"/>
    <n v="5614"/>
    <n v="11228"/>
    <s v="UK"/>
    <x v="2"/>
    <s v="Ok"/>
    <b v="0"/>
    <x v="3"/>
    <s v="Valid"/>
    <s v="P12"/>
    <s v="Clean"/>
  </r>
  <r>
    <n v="1037"/>
    <s v="C037"/>
    <s v="2024-01-20"/>
    <s v="P09"/>
    <n v="4"/>
    <n v="3596"/>
    <n v="14384"/>
    <s v="Canada"/>
    <x v="0"/>
    <s v="Ok"/>
    <b v="0"/>
    <x v="1"/>
    <s v="Valid"/>
    <s v="P09"/>
    <s v="Clean"/>
  </r>
  <r>
    <n v="1038"/>
    <s v="C038"/>
    <s v="2024-01-26"/>
    <s v="P05"/>
    <n v="1"/>
    <n v="980"/>
    <n v="980"/>
    <s v="USA"/>
    <x v="0"/>
    <s v="Ok"/>
    <b v="0"/>
    <x v="2"/>
    <s v="Valid"/>
    <s v="P05"/>
    <s v="Clean"/>
  </r>
  <r>
    <n v="1039"/>
    <s v="C039"/>
    <s v="2024-01-23"/>
    <s v="P07"/>
    <n v="2"/>
    <n v="4829"/>
    <n v="9658"/>
    <s v="Canada"/>
    <x v="2"/>
    <s v="Ok"/>
    <b v="0"/>
    <x v="1"/>
    <s v="Valid"/>
    <s v="P07"/>
    <s v="Clean"/>
  </r>
  <r>
    <n v="1040"/>
    <s v="C040"/>
    <s v="2024-01-14"/>
    <s v="P15"/>
    <n v="4"/>
    <n v="4445"/>
    <n v="17780"/>
    <s v="UK"/>
    <x v="2"/>
    <s v="Ok"/>
    <b v="0"/>
    <x v="3"/>
    <s v="Valid"/>
    <s v="P15"/>
    <s v="Clean"/>
  </r>
  <r>
    <n v="1041"/>
    <s v="C041"/>
    <s v="2024-01-11"/>
    <s v="P11"/>
    <n v="4"/>
    <n v="1239"/>
    <n v="4756"/>
    <s v="UK"/>
    <x v="2"/>
    <s v="Mismatch"/>
    <b v="0"/>
    <x v="3"/>
    <s v="Valid"/>
    <s v="P11"/>
    <s v="Problem"/>
  </r>
  <r>
    <n v="1042"/>
    <s v="C042"/>
    <s v="2024-02-21"/>
    <s v="P03"/>
    <n v="5"/>
    <n v="2257"/>
    <n v="11285"/>
    <s v="India"/>
    <x v="0"/>
    <s v="Ok"/>
    <b v="0"/>
    <x v="0"/>
    <s v="Valid"/>
    <s v="P03"/>
    <s v="Clean"/>
  </r>
  <r>
    <n v="1043"/>
    <s v="C043"/>
    <s v="2024-03-01"/>
    <s v="P06"/>
    <n v="5"/>
    <n v="7420"/>
    <n v="37100"/>
    <s v="India"/>
    <x v="1"/>
    <s v="Ok"/>
    <b v="0"/>
    <x v="0"/>
    <s v="Valid"/>
    <s v="P06"/>
    <s v="Clean"/>
  </r>
  <r>
    <n v="1044"/>
    <s v="C044"/>
    <s v="2024-01-12"/>
    <s v="P10"/>
    <n v="1"/>
    <n v="4039"/>
    <n v="4039"/>
    <s v="India"/>
    <x v="1"/>
    <s v="Ok"/>
    <b v="0"/>
    <x v="0"/>
    <s v="Valid"/>
    <s v="P10"/>
    <s v="Clean"/>
  </r>
  <r>
    <n v="1045"/>
    <s v="C045"/>
    <s v="2024-01-25"/>
    <s v="P06"/>
    <n v="3"/>
    <n v="3332"/>
    <n v="9996"/>
    <s v="India"/>
    <x v="0"/>
    <s v="Ok"/>
    <b v="0"/>
    <x v="0"/>
    <s v="Valid"/>
    <s v="P06"/>
    <s v="Clean"/>
  </r>
  <r>
    <n v="1046"/>
    <s v="C046"/>
    <s v="2024-02-26"/>
    <s v="P05"/>
    <n v="1"/>
    <n v="2373"/>
    <n v="2373"/>
    <s v="Canada"/>
    <x v="2"/>
    <s v="Ok"/>
    <b v="0"/>
    <x v="1"/>
    <s v="Valid"/>
    <s v="P05"/>
    <s v="Clean"/>
  </r>
  <r>
    <n v="1047"/>
    <s v="C047"/>
    <s v="2024-01-01"/>
    <s v="P08"/>
    <n v="5"/>
    <n v="3653"/>
    <n v="18265"/>
    <s v="India"/>
    <x v="1"/>
    <s v="Ok"/>
    <b v="0"/>
    <x v="0"/>
    <s v="Valid"/>
    <s v="P08"/>
    <s v="Clean"/>
  </r>
  <r>
    <n v="1048"/>
    <s v="C048"/>
    <s v="2024-02-16"/>
    <s v="P04"/>
    <n v="3"/>
    <n v="1036"/>
    <n v="3108"/>
    <s v="USA"/>
    <x v="1"/>
    <s v="Ok"/>
    <b v="0"/>
    <x v="2"/>
    <s v="Valid"/>
    <s v="P04"/>
    <s v="Clean"/>
  </r>
  <r>
    <n v="1049"/>
    <s v="C049"/>
    <s v="2024-01-24"/>
    <s v="P07"/>
    <n v="4"/>
    <n v="981"/>
    <n v="3924"/>
    <s v="UK"/>
    <x v="1"/>
    <s v="Ok"/>
    <b v="0"/>
    <x v="3"/>
    <s v="Valid"/>
    <s v="P07"/>
    <s v="Clean"/>
  </r>
  <r>
    <n v="1050"/>
    <s v="C050"/>
    <s v="2024-02-29"/>
    <s v="P11"/>
    <n v="5"/>
    <n v="4877"/>
    <n v="24385"/>
    <s v="India"/>
    <x v="2"/>
    <s v="Ok"/>
    <b v="0"/>
    <x v="0"/>
    <s v="Valid"/>
    <s v="P11"/>
    <s v="Clean"/>
  </r>
  <r>
    <n v="1051"/>
    <s v="C051"/>
    <s v="2024-02-05"/>
    <s v="P08"/>
    <n v="-2"/>
    <n v="644"/>
    <n v="3220"/>
    <s v="Canada"/>
    <x v="2"/>
    <s v="Mismatch"/>
    <b v="0"/>
    <x v="1"/>
    <s v="Valid"/>
    <s v="P08"/>
    <s v="Problem"/>
  </r>
  <r>
    <n v="1052"/>
    <s v="C052"/>
    <s v="2024-01-22"/>
    <s v="P13"/>
    <n v="5"/>
    <n v="9224"/>
    <n v="46120"/>
    <s v="UK"/>
    <x v="0"/>
    <s v="Ok"/>
    <b v="0"/>
    <x v="3"/>
    <s v="Valid"/>
    <s v="P13"/>
    <s v="Clean"/>
  </r>
  <r>
    <n v="1053"/>
    <s v="C053"/>
    <s v="2024-02-14"/>
    <s v="P07"/>
    <n v="2"/>
    <n v="2293"/>
    <n v="4586"/>
    <s v="India"/>
    <x v="1"/>
    <s v="Ok"/>
    <b v="0"/>
    <x v="0"/>
    <s v="Valid"/>
    <s v="P07"/>
    <s v="Clean"/>
  </r>
  <r>
    <n v="1054"/>
    <s v="C054"/>
    <s v="2024-01-20"/>
    <s v="P11"/>
    <n v="4"/>
    <n v="2468"/>
    <n v="9872"/>
    <s v="UK"/>
    <x v="2"/>
    <s v="Ok"/>
    <b v="0"/>
    <x v="3"/>
    <s v="Valid"/>
    <s v="P11"/>
    <s v="Clean"/>
  </r>
  <r>
    <n v="1055"/>
    <s v="C055"/>
    <s v="2024-02-05"/>
    <s v="P06"/>
    <n v="4"/>
    <n v="1691"/>
    <n v="6764"/>
    <s v="Canada"/>
    <x v="1"/>
    <s v="Ok"/>
    <b v="0"/>
    <x v="1"/>
    <s v="Valid"/>
    <s v="P06"/>
    <s v="Clean"/>
  </r>
  <r>
    <n v="1056"/>
    <s v="C056"/>
    <s v="2024-02-21"/>
    <s v="P08"/>
    <n v="4"/>
    <n v="7502"/>
    <n v="30008"/>
    <s v="India"/>
    <x v="1"/>
    <s v="Ok"/>
    <b v="0"/>
    <x v="0"/>
    <s v="Valid"/>
    <s v="P08"/>
    <s v="Clean"/>
  </r>
  <r>
    <n v="1057"/>
    <s v="C057"/>
    <s v="2024-02-02"/>
    <s v="P07"/>
    <n v="1"/>
    <n v="791"/>
    <n v="791"/>
    <s v="USA"/>
    <x v="2"/>
    <s v="Ok"/>
    <b v="0"/>
    <x v="2"/>
    <s v="Valid"/>
    <s v="P07"/>
    <s v="Clean"/>
  </r>
  <r>
    <n v="1058"/>
    <s v="C058"/>
    <s v="2024-02-17"/>
    <s v="P15"/>
    <n v="2"/>
    <n v="6477"/>
    <n v="12954"/>
    <s v="USA"/>
    <x v="2"/>
    <s v="Ok"/>
    <b v="0"/>
    <x v="2"/>
    <s v="Valid"/>
    <s v="P15"/>
    <s v="Clean"/>
  </r>
  <r>
    <n v="1059"/>
    <s v="C059"/>
    <s v="2024-02-23"/>
    <s v="P03"/>
    <n v="1"/>
    <n v="4996"/>
    <n v="4996"/>
    <s v="India"/>
    <x v="1"/>
    <s v="Ok"/>
    <b v="0"/>
    <x v="0"/>
    <s v="Valid"/>
    <s v="P03"/>
    <s v="Clean"/>
  </r>
  <r>
    <n v="1060"/>
    <s v="C060"/>
    <s v="2024-01-05"/>
    <s v="P15"/>
    <n v="5"/>
    <n v="4338"/>
    <n v="21690"/>
    <s v="USA"/>
    <x v="2"/>
    <s v="Ok"/>
    <b v="0"/>
    <x v="2"/>
    <s v="Valid"/>
    <s v="P15"/>
    <s v="Clean"/>
  </r>
  <r>
    <n v="1061"/>
    <s v="C061"/>
    <s v="2024-02-15"/>
    <s v="P06"/>
    <n v="-1"/>
    <n v="3899"/>
    <n v="11697"/>
    <s v="India"/>
    <x v="1"/>
    <s v="Mismatch"/>
    <b v="0"/>
    <x v="0"/>
    <s v="Valid"/>
    <s v="P06"/>
    <s v="Problem"/>
  </r>
  <r>
    <n v="1062"/>
    <s v="C062"/>
    <s v="2024-01-22"/>
    <s v="P11"/>
    <n v="1"/>
    <n v="4155"/>
    <n v="4155"/>
    <s v="UK"/>
    <x v="1"/>
    <s v="Ok"/>
    <b v="0"/>
    <x v="3"/>
    <s v="Valid"/>
    <s v="P11"/>
    <s v="Clean"/>
  </r>
  <r>
    <n v="1063"/>
    <s v="C063"/>
    <s v="2024-01-30"/>
    <s v="P03"/>
    <n v="5"/>
    <n v="8852"/>
    <n v="44260"/>
    <s v="UK"/>
    <x v="0"/>
    <s v="Ok"/>
    <b v="0"/>
    <x v="3"/>
    <s v="Valid"/>
    <s v="P03"/>
    <s v="Clean"/>
  </r>
  <r>
    <n v="1064"/>
    <s v="C064"/>
    <s v="2024-01-20"/>
    <s v="P05"/>
    <n v="4"/>
    <n v="5768"/>
    <n v="23072"/>
    <s v="India"/>
    <x v="0"/>
    <s v="Ok"/>
    <b v="0"/>
    <x v="0"/>
    <s v="Valid"/>
    <s v="P05"/>
    <s v="Clean"/>
  </r>
  <r>
    <n v="1065"/>
    <s v="C065"/>
    <s v="2024-02-25"/>
    <s v="P09"/>
    <n v="5"/>
    <n v="6775"/>
    <n v="33875"/>
    <s v="UK"/>
    <x v="2"/>
    <s v="Ok"/>
    <b v="0"/>
    <x v="3"/>
    <s v="Valid"/>
    <s v="P09"/>
    <s v="Clean"/>
  </r>
  <r>
    <n v="1066"/>
    <s v="C066"/>
    <s v="2024-02-12"/>
    <s v="P12"/>
    <n v="3"/>
    <n v="8695"/>
    <n v="26085"/>
    <s v="India"/>
    <x v="1"/>
    <s v="Ok"/>
    <b v="0"/>
    <x v="0"/>
    <s v="Valid"/>
    <s v="P12"/>
    <s v="Clean"/>
  </r>
  <r>
    <n v="1067"/>
    <s v="C067"/>
    <s v="2024-02-26"/>
    <s v="P09"/>
    <n v="1"/>
    <n v="6683"/>
    <n v="6683"/>
    <s v="Canada"/>
    <x v="1"/>
    <s v="Ok"/>
    <b v="0"/>
    <x v="1"/>
    <s v="Valid"/>
    <s v="P09"/>
    <s v="Clean"/>
  </r>
  <r>
    <n v="1068"/>
    <s v="C068"/>
    <s v="2024-01-10"/>
    <s v="P14"/>
    <n v="3"/>
    <n v="4372"/>
    <n v="13116"/>
    <s v="UK"/>
    <x v="1"/>
    <s v="Ok"/>
    <b v="0"/>
    <x v="3"/>
    <s v="Valid"/>
    <s v="P14"/>
    <s v="Clean"/>
  </r>
  <r>
    <n v="1069"/>
    <s v="C069"/>
    <s v="2024-01-16"/>
    <s v="P03"/>
    <n v="5"/>
    <n v="6060"/>
    <n v="30300"/>
    <s v="UK"/>
    <x v="2"/>
    <s v="Ok"/>
    <b v="0"/>
    <x v="3"/>
    <s v="Valid"/>
    <s v="P03"/>
    <s v="Clean"/>
  </r>
  <r>
    <n v="1070"/>
    <s v="C070"/>
    <s v="2024-02-25"/>
    <s v="P02"/>
    <n v="4"/>
    <n v="4719"/>
    <n v="18876"/>
    <s v="Canada"/>
    <x v="2"/>
    <s v="Ok"/>
    <b v="0"/>
    <x v="1"/>
    <s v="Valid"/>
    <s v="P02"/>
    <s v="Clean"/>
  </r>
  <r>
    <n v="1071"/>
    <s v="C071"/>
    <s v="2024-01-13"/>
    <s v="P99"/>
    <n v="3"/>
    <n v="2921"/>
    <n v="8763"/>
    <s v="India"/>
    <x v="0"/>
    <s v="Ok"/>
    <b v="0"/>
    <x v="0"/>
    <s v="Valid"/>
    <s v="Invalid"/>
    <s v="Problem"/>
  </r>
  <r>
    <n v="1072"/>
    <s v="C072"/>
    <s v="2024-01-25"/>
    <s v="P09"/>
    <n v="2"/>
    <n v="6947"/>
    <n v="13894"/>
    <s v="USA"/>
    <x v="2"/>
    <s v="Ok"/>
    <b v="0"/>
    <x v="2"/>
    <s v="Valid"/>
    <s v="P09"/>
    <s v="Clean"/>
  </r>
  <r>
    <n v="1073"/>
    <s v="C073"/>
    <s v="2024-02-18"/>
    <s v="P07"/>
    <n v="2"/>
    <n v="8446"/>
    <n v="16892"/>
    <s v="USA"/>
    <x v="1"/>
    <s v="Ok"/>
    <b v="0"/>
    <x v="2"/>
    <s v="Valid"/>
    <s v="P07"/>
    <s v="Clean"/>
  </r>
  <r>
    <n v="1074"/>
    <s v="C074"/>
    <s v="2024-01-29"/>
    <s v="P11"/>
    <n v="2"/>
    <n v="7532"/>
    <n v="15064"/>
    <s v="Canada"/>
    <x v="0"/>
    <s v="Ok"/>
    <b v="0"/>
    <x v="1"/>
    <s v="Valid"/>
    <s v="P11"/>
    <s v="Clean"/>
  </r>
  <r>
    <n v="1075"/>
    <s v="C075"/>
    <s v="2024-02-27"/>
    <s v="P05"/>
    <n v="5"/>
    <n v="9080"/>
    <n v="45400"/>
    <s v="USA"/>
    <x v="2"/>
    <s v="Ok"/>
    <b v="0"/>
    <x v="2"/>
    <s v="Valid"/>
    <s v="P05"/>
    <s v="Clean"/>
  </r>
  <r>
    <n v="1076"/>
    <s v="C076"/>
    <s v="2024-02-13"/>
    <s v="P15"/>
    <n v="1"/>
    <n v="8955"/>
    <n v="8955"/>
    <s v="India"/>
    <x v="2"/>
    <s v="Ok"/>
    <b v="0"/>
    <x v="0"/>
    <s v="Valid"/>
    <s v="P15"/>
    <s v="Clean"/>
  </r>
  <r>
    <n v="1077"/>
    <s v="C077"/>
    <s v="2024-02-15"/>
    <s v="P10"/>
    <n v="2"/>
    <n v="5385"/>
    <n v="10770"/>
    <s v="Canada"/>
    <x v="2"/>
    <s v="Ok"/>
    <b v="0"/>
    <x v="1"/>
    <s v="Valid"/>
    <s v="P10"/>
    <s v="Clean"/>
  </r>
  <r>
    <n v="1078"/>
    <s v="C078"/>
    <s v="2024-01-06"/>
    <s v="P15"/>
    <n v="2"/>
    <n v="8799"/>
    <n v="17598"/>
    <s v="USA"/>
    <x v="0"/>
    <s v="Ok"/>
    <b v="0"/>
    <x v="2"/>
    <s v="Valid"/>
    <s v="P15"/>
    <s v="Clean"/>
  </r>
  <r>
    <n v="1079"/>
    <s v="C079"/>
    <s v="2024-01-05"/>
    <s v="P04"/>
    <n v="4"/>
    <n v="9657"/>
    <n v="38628"/>
    <s v="UK"/>
    <x v="2"/>
    <s v="Ok"/>
    <b v="0"/>
    <x v="3"/>
    <s v="Valid"/>
    <s v="P04"/>
    <s v="Clean"/>
  </r>
  <r>
    <n v="1080"/>
    <s v="C080"/>
    <s v="2024-01-21"/>
    <s v="P01"/>
    <n v="5"/>
    <n v="7957"/>
    <n v="39785"/>
    <s v="India"/>
    <x v="2"/>
    <s v="Ok"/>
    <b v="0"/>
    <x v="0"/>
    <s v="Valid"/>
    <s v="P01"/>
    <s v="Clean"/>
  </r>
  <r>
    <n v="1081"/>
    <s v="C081"/>
    <s v="2024-01-18"/>
    <s v="XYZ"/>
    <n v="2"/>
    <n v="1522"/>
    <n v="3044"/>
    <s v="India"/>
    <x v="0"/>
    <s v="Ok"/>
    <b v="0"/>
    <x v="0"/>
    <s v="Valid"/>
    <s v="Invalid"/>
    <s v="Problem"/>
  </r>
  <r>
    <n v="1082"/>
    <s v="C082"/>
    <s v="2024-02-19"/>
    <s v="P14"/>
    <n v="2"/>
    <n v="1715"/>
    <n v="3430"/>
    <s v="India"/>
    <x v="1"/>
    <s v="Ok"/>
    <b v="0"/>
    <x v="0"/>
    <s v="Valid"/>
    <s v="P14"/>
    <s v="Clean"/>
  </r>
  <r>
    <n v="1083"/>
    <s v="C083"/>
    <s v="2024-01-28"/>
    <s v="P04"/>
    <n v="4"/>
    <n v="8102"/>
    <n v="32408"/>
    <s v="India"/>
    <x v="2"/>
    <s v="Ok"/>
    <b v="0"/>
    <x v="0"/>
    <s v="Valid"/>
    <s v="P04"/>
    <s v="Clean"/>
  </r>
  <r>
    <n v="1084"/>
    <s v="C084"/>
    <s v="2024-02-04"/>
    <s v="P06"/>
    <n v="2"/>
    <n v="649"/>
    <n v="1298"/>
    <s v="UK"/>
    <x v="1"/>
    <s v="Ok"/>
    <b v="0"/>
    <x v="3"/>
    <s v="Valid"/>
    <s v="P06"/>
    <s v="Clean"/>
  </r>
  <r>
    <n v="1085"/>
    <s v="C085"/>
    <s v="2024-01-22"/>
    <s v="P05"/>
    <n v="5"/>
    <n v="1578"/>
    <n v="7890"/>
    <s v="USA"/>
    <x v="2"/>
    <s v="Ok"/>
    <b v="0"/>
    <x v="2"/>
    <s v="Valid"/>
    <s v="P05"/>
    <s v="Clean"/>
  </r>
  <r>
    <n v="1086"/>
    <s v="C086"/>
    <s v="2024-02-27"/>
    <s v="P08"/>
    <n v="4"/>
    <n v="2030"/>
    <n v="8120"/>
    <s v="USA"/>
    <x v="1"/>
    <s v="Ok"/>
    <b v="0"/>
    <x v="2"/>
    <s v="Valid"/>
    <s v="P08"/>
    <s v="Clean"/>
  </r>
  <r>
    <n v="1087"/>
    <s v="C087"/>
    <s v="2024-02-27"/>
    <s v="P09"/>
    <n v="4"/>
    <n v="915"/>
    <n v="3660"/>
    <s v="Canada"/>
    <x v="2"/>
    <s v="Ok"/>
    <b v="0"/>
    <x v="1"/>
    <s v="Valid"/>
    <s v="P09"/>
    <s v="Clean"/>
  </r>
  <r>
    <n v="1088"/>
    <s v="C088"/>
    <s v="2024-02-13"/>
    <s v="P03"/>
    <n v="5"/>
    <n v="2331"/>
    <n v="11655"/>
    <s v="India"/>
    <x v="0"/>
    <s v="Ok"/>
    <b v="0"/>
    <x v="0"/>
    <s v="Valid"/>
    <s v="P03"/>
    <s v="Clean"/>
  </r>
  <r>
    <n v="1089"/>
    <s v="C089"/>
    <s v="2024-02-20"/>
    <s v="P09"/>
    <n v="1"/>
    <n v="1222"/>
    <n v="1222"/>
    <s v="Canada"/>
    <x v="1"/>
    <s v="Ok"/>
    <b v="0"/>
    <x v="1"/>
    <s v="Valid"/>
    <s v="P09"/>
    <s v="Clean"/>
  </r>
  <r>
    <n v="1090"/>
    <s v="C090"/>
    <s v="2024-02-22"/>
    <s v="P04"/>
    <n v="2"/>
    <n v="9460"/>
    <n v="18920"/>
    <s v="India"/>
    <x v="0"/>
    <s v="Ok"/>
    <b v="0"/>
    <x v="0"/>
    <s v="Valid"/>
    <s v="P04"/>
    <s v="Clean"/>
  </r>
  <r>
    <n v="1091"/>
    <s v="C091"/>
    <s v="2024-01-23"/>
    <s v="P11"/>
    <n v="4"/>
    <n v="2317"/>
    <n v="9268"/>
    <s v="USA"/>
    <x v="3"/>
    <s v="Ok"/>
    <b v="0"/>
    <x v="2"/>
    <s v="Invalid"/>
    <s v="P11"/>
    <s v="Problem"/>
  </r>
  <r>
    <n v="1092"/>
    <s v="C092"/>
    <s v="2024-02-27"/>
    <s v="P13"/>
    <n v="1"/>
    <n v="1535"/>
    <n v="1535"/>
    <s v="India"/>
    <x v="1"/>
    <s v="Ok"/>
    <b v="0"/>
    <x v="0"/>
    <s v="Valid"/>
    <s v="P13"/>
    <s v="Clean"/>
  </r>
  <r>
    <n v="1093"/>
    <s v="C093"/>
    <s v="2024-02-14"/>
    <s v="P04"/>
    <n v="3"/>
    <n v="3449"/>
    <n v="10347"/>
    <s v="Canada"/>
    <x v="2"/>
    <s v="Ok"/>
    <b v="0"/>
    <x v="1"/>
    <s v="Valid"/>
    <s v="P04"/>
    <s v="Clean"/>
  </r>
  <r>
    <n v="1094"/>
    <s v="C094"/>
    <s v="2024-01-17"/>
    <s v="P06"/>
    <n v="1"/>
    <n v="9152"/>
    <n v="9152"/>
    <s v="USA"/>
    <x v="1"/>
    <s v="Ok"/>
    <b v="0"/>
    <x v="2"/>
    <s v="Valid"/>
    <s v="P06"/>
    <s v="Clean"/>
  </r>
  <r>
    <n v="1095"/>
    <s v="C095"/>
    <s v="2024-01-16"/>
    <s v="P12"/>
    <n v="4"/>
    <n v="1183"/>
    <n v="4732"/>
    <s v="India"/>
    <x v="2"/>
    <s v="Ok"/>
    <b v="0"/>
    <x v="0"/>
    <s v="Valid"/>
    <s v="P12"/>
    <s v="Clean"/>
  </r>
  <r>
    <n v="1096"/>
    <s v="C096"/>
    <s v="2024-01-02"/>
    <s v="P15"/>
    <n v="2"/>
    <n v="5024"/>
    <n v="10048"/>
    <s v="UK"/>
    <x v="1"/>
    <s v="Ok"/>
    <b v="0"/>
    <x v="3"/>
    <s v="Valid"/>
    <s v="P15"/>
    <s v="Clean"/>
  </r>
  <r>
    <n v="1097"/>
    <s v="C097"/>
    <s v="2024-02-26"/>
    <s v="P12"/>
    <n v="1"/>
    <n v="5675"/>
    <n v="5675"/>
    <s v="Canada"/>
    <x v="1"/>
    <s v="Ok"/>
    <b v="0"/>
    <x v="1"/>
    <s v="Valid"/>
    <s v="P12"/>
    <s v="Clean"/>
  </r>
  <r>
    <n v="1098"/>
    <s v="C098"/>
    <s v="2024-02-02"/>
    <s v="P12"/>
    <n v="4"/>
    <n v="6971"/>
    <n v="27884"/>
    <s v="Canada"/>
    <x v="1"/>
    <s v="Ok"/>
    <b v="0"/>
    <x v="1"/>
    <s v="Valid"/>
    <s v="P12"/>
    <s v="Clean"/>
  </r>
  <r>
    <n v="1099"/>
    <s v="C099"/>
    <s v="2024-01-06"/>
    <s v="P09"/>
    <n v="4"/>
    <n v="4085"/>
    <n v="16340"/>
    <s v="India"/>
    <x v="2"/>
    <s v="Ok"/>
    <b v="0"/>
    <x v="0"/>
    <s v="Valid"/>
    <s v="P09"/>
    <s v="Clean"/>
  </r>
  <r>
    <n v="1100"/>
    <s v="C100"/>
    <s v="2024-01-05"/>
    <s v="P08"/>
    <n v="1"/>
    <n v="9224"/>
    <n v="9224"/>
    <s v="USA"/>
    <x v="2"/>
    <s v="Ok"/>
    <b v="0"/>
    <x v="2"/>
    <s v="Valid"/>
    <s v="P08"/>
    <s v="Clean"/>
  </r>
  <r>
    <n v="1101"/>
    <s v="C101"/>
    <s v="2024-01-27"/>
    <s v="P05"/>
    <n v="1"/>
    <n v="778"/>
    <n v="778"/>
    <s v="Canada"/>
    <x v="4"/>
    <s v="Ok"/>
    <b v="0"/>
    <x v="1"/>
    <s v="Invalid"/>
    <s v="P05"/>
    <s v="Problem"/>
  </r>
  <r>
    <n v="1102"/>
    <s v="C102"/>
    <s v="2024-01-05"/>
    <s v="P02"/>
    <n v="4"/>
    <n v="5254"/>
    <n v="21016"/>
    <s v="UK"/>
    <x v="1"/>
    <s v="Ok"/>
    <b v="0"/>
    <x v="3"/>
    <s v="Valid"/>
    <s v="P02"/>
    <s v="Clean"/>
  </r>
  <r>
    <n v="1103"/>
    <s v="C103"/>
    <s v="2024-02-08"/>
    <s v="P05"/>
    <n v="2"/>
    <n v="1575"/>
    <n v="3150"/>
    <s v="India"/>
    <x v="0"/>
    <s v="Ok"/>
    <b v="0"/>
    <x v="0"/>
    <s v="Valid"/>
    <s v="P05"/>
    <s v="Clean"/>
  </r>
  <r>
    <n v="1104"/>
    <s v="C104"/>
    <s v="2024-02-26"/>
    <s v="P11"/>
    <n v="4"/>
    <n v="8998"/>
    <n v="35992"/>
    <s v="India"/>
    <x v="2"/>
    <s v="Ok"/>
    <b v="0"/>
    <x v="0"/>
    <s v="Valid"/>
    <s v="P11"/>
    <s v="Clean"/>
  </r>
  <r>
    <n v="1105"/>
    <s v="C105"/>
    <s v="2024-02-28"/>
    <s v="P13"/>
    <n v="3"/>
    <n v="6515"/>
    <n v="19545"/>
    <s v="UK"/>
    <x v="2"/>
    <s v="Ok"/>
    <b v="0"/>
    <x v="3"/>
    <s v="Valid"/>
    <s v="P13"/>
    <s v="Clean"/>
  </r>
  <r>
    <n v="1106"/>
    <s v="C106"/>
    <s v="2024-01-07"/>
    <s v="P03"/>
    <n v="2"/>
    <n v="3875"/>
    <n v="7750"/>
    <s v="Canada"/>
    <x v="2"/>
    <s v="Ok"/>
    <b v="0"/>
    <x v="1"/>
    <s v="Valid"/>
    <s v="P03"/>
    <s v="Clean"/>
  </r>
  <r>
    <n v="1107"/>
    <s v="C107"/>
    <s v="2024-01-15"/>
    <s v="P15"/>
    <n v="4"/>
    <n v="7328"/>
    <n v="29312"/>
    <s v="UK"/>
    <x v="1"/>
    <s v="Ok"/>
    <b v="0"/>
    <x v="3"/>
    <s v="Valid"/>
    <s v="P15"/>
    <s v="Clean"/>
  </r>
  <r>
    <n v="1108"/>
    <s v="C108"/>
    <s v="2024-01-17"/>
    <s v="P15"/>
    <n v="5"/>
    <n v="4486"/>
    <n v="22430"/>
    <s v="India"/>
    <x v="2"/>
    <s v="Ok"/>
    <b v="0"/>
    <x v="0"/>
    <s v="Valid"/>
    <s v="P15"/>
    <s v="Clean"/>
  </r>
  <r>
    <n v="1109"/>
    <s v="C109"/>
    <s v="2024-02-02"/>
    <s v="P11"/>
    <n v="4"/>
    <n v="4172"/>
    <n v="16688"/>
    <s v="India"/>
    <x v="1"/>
    <s v="Ok"/>
    <b v="0"/>
    <x v="0"/>
    <s v="Valid"/>
    <s v="P11"/>
    <s v="Clean"/>
  </r>
  <r>
    <n v="1110"/>
    <s v="C110"/>
    <s v="2024-01-16"/>
    <s v="P09"/>
    <n v="4"/>
    <n v="5296"/>
    <n v="21184"/>
    <s v="UK"/>
    <x v="0"/>
    <s v="Ok"/>
    <b v="0"/>
    <x v="3"/>
    <s v="Valid"/>
    <s v="P09"/>
    <s v="Clean"/>
  </r>
  <r>
    <n v="1111"/>
    <s v="C111"/>
    <s v="2024-13-01"/>
    <s v="P06"/>
    <n v="2"/>
    <n v="3772"/>
    <n v="7544"/>
    <s v="UK"/>
    <x v="1"/>
    <s v="Ok"/>
    <b v="0"/>
    <x v="3"/>
    <s v="Valid"/>
    <s v="P06"/>
    <s v="Clean"/>
  </r>
  <r>
    <n v="1112"/>
    <s v="C112"/>
    <s v="2024-01-25"/>
    <s v="P12"/>
    <n v="1"/>
    <n v="5661"/>
    <n v="5661"/>
    <s v="UK"/>
    <x v="0"/>
    <s v="Ok"/>
    <b v="0"/>
    <x v="3"/>
    <s v="Valid"/>
    <s v="P12"/>
    <s v="Clean"/>
  </r>
  <r>
    <n v="1113"/>
    <s v="C113"/>
    <s v="2024-01-14"/>
    <s v="P03"/>
    <n v="2"/>
    <n v="5773"/>
    <n v="11546"/>
    <s v="USA"/>
    <x v="2"/>
    <s v="Ok"/>
    <b v="0"/>
    <x v="2"/>
    <s v="Valid"/>
    <s v="P03"/>
    <s v="Clean"/>
  </r>
  <r>
    <n v="1114"/>
    <s v="C114"/>
    <s v="2024-02-26"/>
    <s v="P11"/>
    <n v="2"/>
    <n v="641"/>
    <n v="1282"/>
    <s v="USA"/>
    <x v="0"/>
    <s v="Ok"/>
    <b v="0"/>
    <x v="2"/>
    <s v="Valid"/>
    <s v="P11"/>
    <s v="Clean"/>
  </r>
  <r>
    <n v="1115"/>
    <s v="C115"/>
    <s v="2024-01-25"/>
    <s v="P01"/>
    <n v="5"/>
    <n v="2337"/>
    <n v="11685"/>
    <s v="UK"/>
    <x v="2"/>
    <s v="Ok"/>
    <b v="0"/>
    <x v="3"/>
    <s v="Valid"/>
    <s v="P01"/>
    <s v="Clean"/>
  </r>
  <r>
    <n v="1116"/>
    <s v="C116"/>
    <s v="2024-02-20"/>
    <s v="P13"/>
    <n v="1"/>
    <n v="3174"/>
    <n v="3174"/>
    <s v="India"/>
    <x v="0"/>
    <s v="Ok"/>
    <b v="0"/>
    <x v="0"/>
    <s v="Valid"/>
    <s v="P13"/>
    <s v="Clean"/>
  </r>
  <r>
    <n v="1117"/>
    <s v="C117"/>
    <s v="2024-01-11"/>
    <s v="P05"/>
    <n v="1"/>
    <n v="2578"/>
    <n v="2578"/>
    <s v="UK"/>
    <x v="0"/>
    <s v="Ok"/>
    <b v="0"/>
    <x v="3"/>
    <s v="Valid"/>
    <s v="P05"/>
    <s v="Clean"/>
  </r>
  <r>
    <n v="1118"/>
    <s v="C118"/>
    <s v="2024-01-12"/>
    <s v="P07"/>
    <n v="4"/>
    <n v="9641"/>
    <n v="38564"/>
    <s v="USA"/>
    <x v="0"/>
    <s v="Ok"/>
    <b v="0"/>
    <x v="2"/>
    <s v="Valid"/>
    <s v="P07"/>
    <s v="Clean"/>
  </r>
  <r>
    <n v="1119"/>
    <s v="C119"/>
    <s v="2024-01-24"/>
    <s v="P08"/>
    <n v="3"/>
    <n v="768"/>
    <n v="2304"/>
    <s v="India"/>
    <x v="1"/>
    <s v="Ok"/>
    <b v="0"/>
    <x v="0"/>
    <s v="Valid"/>
    <s v="P08"/>
    <s v="Clean"/>
  </r>
  <r>
    <n v="1120"/>
    <s v="C120"/>
    <s v="2024-01-07"/>
    <s v="P02"/>
    <n v="5"/>
    <n v="6867"/>
    <n v="34335"/>
    <s v="USA"/>
    <x v="1"/>
    <s v="Ok"/>
    <b v="0"/>
    <x v="2"/>
    <s v="Valid"/>
    <s v="P02"/>
    <s v="Clean"/>
  </r>
  <r>
    <n v="1121"/>
    <s v="C121"/>
    <m/>
    <s v="P04"/>
    <n v="5"/>
    <n v="8891"/>
    <n v="44455"/>
    <s v="Canada"/>
    <x v="1"/>
    <s v="Ok"/>
    <b v="0"/>
    <x v="1"/>
    <s v="Valid"/>
    <s v="P04"/>
    <s v="Clean"/>
  </r>
  <r>
    <n v="1122"/>
    <s v="C122"/>
    <s v="2024-01-27"/>
    <s v="P07"/>
    <n v="4"/>
    <n v="7463"/>
    <n v="29852"/>
    <s v="USA"/>
    <x v="1"/>
    <s v="Ok"/>
    <b v="0"/>
    <x v="2"/>
    <s v="Valid"/>
    <s v="P07"/>
    <s v="Clean"/>
  </r>
  <r>
    <n v="1123"/>
    <s v="C123"/>
    <s v="2024-01-23"/>
    <s v="P11"/>
    <n v="1"/>
    <n v="1243"/>
    <n v="1243"/>
    <s v="Canada"/>
    <x v="1"/>
    <s v="Ok"/>
    <b v="0"/>
    <x v="1"/>
    <s v="Valid"/>
    <s v="P11"/>
    <s v="Clean"/>
  </r>
  <r>
    <n v="1124"/>
    <s v="C124"/>
    <s v="2024-01-16"/>
    <s v="P02"/>
    <n v="4"/>
    <n v="3680"/>
    <n v="14720"/>
    <s v="India"/>
    <x v="2"/>
    <s v="Ok"/>
    <b v="0"/>
    <x v="0"/>
    <s v="Valid"/>
    <s v="P02"/>
    <s v="Clean"/>
  </r>
  <r>
    <n v="1125"/>
    <s v="C125"/>
    <s v="2024-01-30"/>
    <s v="P03"/>
    <n v="3"/>
    <n v="3270"/>
    <n v="9810"/>
    <s v="India"/>
    <x v="1"/>
    <s v="Ok"/>
    <b v="0"/>
    <x v="0"/>
    <s v="Valid"/>
    <s v="P03"/>
    <s v="Clean"/>
  </r>
  <r>
    <n v="1126"/>
    <s v="C126"/>
    <s v="2024-02-13"/>
    <s v="P05"/>
    <n v="2"/>
    <n v="8303"/>
    <n v="16606"/>
    <s v="Canada"/>
    <x v="0"/>
    <s v="Ok"/>
    <b v="0"/>
    <x v="1"/>
    <s v="Valid"/>
    <s v="P05"/>
    <s v="Clean"/>
  </r>
  <r>
    <n v="1127"/>
    <s v="C127"/>
    <s v="2024-02-21"/>
    <s v="P02"/>
    <n v="3"/>
    <n v="2858"/>
    <n v="8574"/>
    <s v="UK"/>
    <x v="0"/>
    <s v="Ok"/>
    <b v="0"/>
    <x v="3"/>
    <s v="Valid"/>
    <s v="P02"/>
    <s v="Clean"/>
  </r>
  <r>
    <n v="1128"/>
    <s v="C128"/>
    <s v="2024-01-10"/>
    <s v="P02"/>
    <n v="3"/>
    <n v="3620"/>
    <n v="10860"/>
    <s v="UK"/>
    <x v="1"/>
    <s v="Ok"/>
    <b v="0"/>
    <x v="3"/>
    <s v="Valid"/>
    <s v="P02"/>
    <s v="Clean"/>
  </r>
  <r>
    <n v="1129"/>
    <s v="C129"/>
    <s v="2024-01-19"/>
    <s v="P11"/>
    <n v="3"/>
    <n v="922"/>
    <n v="2766"/>
    <s v="UK"/>
    <x v="2"/>
    <s v="Ok"/>
    <b v="0"/>
    <x v="3"/>
    <s v="Valid"/>
    <s v="P11"/>
    <s v="Clean"/>
  </r>
  <r>
    <n v="1130"/>
    <s v="C130"/>
    <s v="2024-02-28"/>
    <s v="P15"/>
    <n v="3"/>
    <n v="6586"/>
    <n v="19758"/>
    <s v="India"/>
    <x v="1"/>
    <s v="Ok"/>
    <b v="0"/>
    <x v="0"/>
    <s v="Valid"/>
    <s v="P15"/>
    <s v="Clean"/>
  </r>
  <r>
    <n v="1131"/>
    <s v="C131"/>
    <s v="2024-01-19"/>
    <s v="P09"/>
    <n v="5"/>
    <n v="7281"/>
    <n v="36405"/>
    <s v="India"/>
    <x v="1"/>
    <s v="Ok"/>
    <b v="0"/>
    <x v="0"/>
    <s v="Valid"/>
    <s v="P09"/>
    <s v="Clean"/>
  </r>
  <r>
    <n v="1132"/>
    <s v="C132"/>
    <s v="2024-01-03"/>
    <s v="P11"/>
    <n v="5"/>
    <n v="9219"/>
    <n v="46095"/>
    <s v="USA"/>
    <x v="0"/>
    <s v="Ok"/>
    <b v="0"/>
    <x v="2"/>
    <s v="Valid"/>
    <s v="P11"/>
    <s v="Clean"/>
  </r>
  <r>
    <n v="1133"/>
    <s v="C133"/>
    <s v="2024-02-15"/>
    <s v="P02"/>
    <n v="3"/>
    <n v="5114"/>
    <n v="15342"/>
    <s v="Canada"/>
    <x v="1"/>
    <s v="Ok"/>
    <b v="0"/>
    <x v="1"/>
    <s v="Valid"/>
    <s v="P02"/>
    <s v="Clean"/>
  </r>
  <r>
    <n v="1134"/>
    <s v="C134"/>
    <s v="2024-02-22"/>
    <s v="P13"/>
    <n v="5"/>
    <n v="6726"/>
    <n v="33630"/>
    <s v="Canada"/>
    <x v="0"/>
    <s v="Ok"/>
    <b v="0"/>
    <x v="1"/>
    <s v="Valid"/>
    <s v="P13"/>
    <s v="Clean"/>
  </r>
  <r>
    <n v="1135"/>
    <s v="C135"/>
    <s v="2024-02-22"/>
    <s v="P15"/>
    <n v="1"/>
    <n v="2496"/>
    <n v="2496"/>
    <s v="India"/>
    <x v="2"/>
    <s v="Ok"/>
    <b v="0"/>
    <x v="0"/>
    <s v="Valid"/>
    <s v="P15"/>
    <s v="Clean"/>
  </r>
  <r>
    <n v="1136"/>
    <s v="C136"/>
    <s v="2024-02-10"/>
    <s v="P08"/>
    <n v="2"/>
    <n v="4163"/>
    <n v="8326"/>
    <s v="UK"/>
    <x v="1"/>
    <s v="Ok"/>
    <b v="0"/>
    <x v="3"/>
    <s v="Valid"/>
    <s v="P08"/>
    <s v="Clean"/>
  </r>
  <r>
    <n v="1137"/>
    <s v="C137"/>
    <s v="2024-01-22"/>
    <s v="P07"/>
    <n v="1"/>
    <n v="2719"/>
    <n v="2719"/>
    <s v="Canada"/>
    <x v="0"/>
    <s v="Ok"/>
    <b v="0"/>
    <x v="1"/>
    <s v="Valid"/>
    <s v="P07"/>
    <s v="Clean"/>
  </r>
  <r>
    <n v="1138"/>
    <s v="C138"/>
    <s v="2024-02-11"/>
    <s v="P03"/>
    <n v="1"/>
    <n v="8162"/>
    <n v="8162"/>
    <s v="USA"/>
    <x v="2"/>
    <s v="Ok"/>
    <b v="0"/>
    <x v="2"/>
    <s v="Valid"/>
    <s v="P03"/>
    <s v="Clean"/>
  </r>
  <r>
    <n v="1139"/>
    <s v="C139"/>
    <s v="2024-02-17"/>
    <s v="P07"/>
    <n v="2"/>
    <n v="9049"/>
    <n v="18098"/>
    <s v="India"/>
    <x v="0"/>
    <s v="Ok"/>
    <b v="0"/>
    <x v="0"/>
    <s v="Valid"/>
    <s v="P07"/>
    <s v="Clean"/>
  </r>
  <r>
    <n v="1140"/>
    <s v="C140"/>
    <s v="2024-01-28"/>
    <s v="P06"/>
    <n v="2"/>
    <n v="1863"/>
    <n v="3726"/>
    <s v="Canada"/>
    <x v="1"/>
    <s v="Ok"/>
    <b v="0"/>
    <x v="1"/>
    <s v="Valid"/>
    <s v="P06"/>
    <s v="Clean"/>
  </r>
  <r>
    <n v="1141"/>
    <s v="C141"/>
    <s v="2024-02-23"/>
    <s v="P02"/>
    <n v="2"/>
    <n v="6709"/>
    <n v="13418"/>
    <s v="U.S.A"/>
    <x v="1"/>
    <s v="Ok"/>
    <b v="0"/>
    <x v="2"/>
    <s v="Valid"/>
    <s v="P02"/>
    <s v="Clean"/>
  </r>
  <r>
    <n v="1142"/>
    <s v="C142"/>
    <s v="2024-02-08"/>
    <s v="P10"/>
    <n v="3"/>
    <n v="6195"/>
    <n v="18585"/>
    <s v="UK"/>
    <x v="1"/>
    <s v="Ok"/>
    <b v="0"/>
    <x v="3"/>
    <s v="Valid"/>
    <s v="P10"/>
    <s v="Clean"/>
  </r>
  <r>
    <n v="1143"/>
    <s v="C143"/>
    <s v="2024-01-25"/>
    <s v="P09"/>
    <n v="2"/>
    <n v="3251"/>
    <n v="6502"/>
    <s v="UK"/>
    <x v="2"/>
    <s v="Ok"/>
    <b v="0"/>
    <x v="3"/>
    <s v="Valid"/>
    <s v="P09"/>
    <s v="Clean"/>
  </r>
  <r>
    <n v="1144"/>
    <s v="C144"/>
    <s v="2024-02-19"/>
    <s v="P09"/>
    <n v="4"/>
    <n v="4693"/>
    <n v="18772"/>
    <s v="UK"/>
    <x v="1"/>
    <s v="Ok"/>
    <b v="0"/>
    <x v="3"/>
    <s v="Valid"/>
    <s v="P09"/>
    <s v="Clean"/>
  </r>
  <r>
    <n v="1145"/>
    <s v="C145"/>
    <s v="2024-02-09"/>
    <s v="P10"/>
    <n v="4"/>
    <n v="7958"/>
    <n v="31832"/>
    <s v="UK"/>
    <x v="0"/>
    <s v="Ok"/>
    <b v="0"/>
    <x v="3"/>
    <s v="Valid"/>
    <s v="P10"/>
    <s v="Clean"/>
  </r>
  <r>
    <n v="1146"/>
    <s v="C146"/>
    <s v="2024-02-16"/>
    <s v="P13"/>
    <n v="2"/>
    <n v="2354"/>
    <n v="4708"/>
    <s v="India"/>
    <x v="2"/>
    <s v="Ok"/>
    <b v="0"/>
    <x v="0"/>
    <s v="Valid"/>
    <s v="P13"/>
    <s v="Clean"/>
  </r>
  <r>
    <n v="1147"/>
    <s v="C147"/>
    <s v="2024-02-14"/>
    <s v="P04"/>
    <n v="1"/>
    <n v="7820"/>
    <n v="7820"/>
    <s v="Canada"/>
    <x v="2"/>
    <s v="Ok"/>
    <b v="0"/>
    <x v="1"/>
    <s v="Valid"/>
    <s v="P04"/>
    <s v="Clean"/>
  </r>
  <r>
    <n v="1148"/>
    <s v="C148"/>
    <s v="2024-02-16"/>
    <s v="P13"/>
    <n v="3"/>
    <n v="7988"/>
    <n v="23964"/>
    <s v="Canada"/>
    <x v="0"/>
    <s v="Ok"/>
    <b v="0"/>
    <x v="1"/>
    <s v="Valid"/>
    <s v="P13"/>
    <s v="Clean"/>
  </r>
  <r>
    <n v="1149"/>
    <s v="C149"/>
    <s v="2024-02-15"/>
    <s v="P10"/>
    <n v="5"/>
    <n v="629"/>
    <n v="3145"/>
    <s v="Canada"/>
    <x v="0"/>
    <s v="Ok"/>
    <b v="0"/>
    <x v="1"/>
    <s v="Valid"/>
    <s v="P10"/>
    <s v="Clean"/>
  </r>
  <r>
    <n v="1150"/>
    <s v="C150"/>
    <s v="2024-02-23"/>
    <s v="P09"/>
    <n v="5"/>
    <n v="1325"/>
    <n v="6625"/>
    <s v="Canada"/>
    <x v="1"/>
    <s v="Ok"/>
    <b v="0"/>
    <x v="1"/>
    <s v="Valid"/>
    <s v="P09"/>
    <s v="Clean"/>
  </r>
  <r>
    <n v="1151"/>
    <s v="C151"/>
    <s v="2024-02-05"/>
    <s v="P10"/>
    <n v="1"/>
    <m/>
    <n v="1522"/>
    <s v="Canada"/>
    <x v="1"/>
    <s v="Mismatch"/>
    <b v="0"/>
    <x v="1"/>
    <s v="Valid"/>
    <s v="P10"/>
    <s v="Problem"/>
  </r>
  <r>
    <n v="1152"/>
    <s v="C152"/>
    <s v="2024-01-25"/>
    <s v="P12"/>
    <n v="5"/>
    <n v="4582"/>
    <n v="22910"/>
    <s v="Canada"/>
    <x v="0"/>
    <s v="Ok"/>
    <b v="0"/>
    <x v="1"/>
    <s v="Valid"/>
    <s v="P12"/>
    <s v="Clean"/>
  </r>
  <r>
    <n v="1153"/>
    <s v="C153"/>
    <s v="2024-01-27"/>
    <s v="P15"/>
    <n v="4"/>
    <n v="2295"/>
    <n v="9180"/>
    <s v="India"/>
    <x v="1"/>
    <s v="Ok"/>
    <b v="0"/>
    <x v="0"/>
    <s v="Valid"/>
    <s v="P15"/>
    <s v="Clean"/>
  </r>
  <r>
    <n v="1154"/>
    <s v="C154"/>
    <s v="2024-02-18"/>
    <s v="P06"/>
    <n v="2"/>
    <n v="1407"/>
    <n v="2814"/>
    <s v="UK"/>
    <x v="2"/>
    <s v="Ok"/>
    <b v="0"/>
    <x v="3"/>
    <s v="Valid"/>
    <s v="P06"/>
    <s v="Clean"/>
  </r>
  <r>
    <n v="1155"/>
    <s v="C155"/>
    <s v="2024-01-11"/>
    <s v="P02"/>
    <n v="5"/>
    <n v="9213"/>
    <n v="46065"/>
    <s v="Canada"/>
    <x v="2"/>
    <s v="Ok"/>
    <b v="0"/>
    <x v="1"/>
    <s v="Valid"/>
    <s v="P02"/>
    <s v="Clean"/>
  </r>
  <r>
    <n v="1156"/>
    <s v="C156"/>
    <s v="2024-03-01"/>
    <s v="P01"/>
    <n v="3"/>
    <n v="619"/>
    <n v="1857"/>
    <s v="India"/>
    <x v="1"/>
    <s v="Ok"/>
    <b v="0"/>
    <x v="0"/>
    <s v="Valid"/>
    <s v="P01"/>
    <s v="Clean"/>
  </r>
  <r>
    <n v="1157"/>
    <s v="C157"/>
    <s v="2024-01-06"/>
    <s v="P02"/>
    <n v="1"/>
    <n v="3532"/>
    <n v="3532"/>
    <s v="USA"/>
    <x v="0"/>
    <s v="Ok"/>
    <b v="0"/>
    <x v="2"/>
    <s v="Valid"/>
    <s v="P02"/>
    <s v="Clean"/>
  </r>
  <r>
    <n v="1158"/>
    <s v="C158"/>
    <s v="2024-01-05"/>
    <s v="P07"/>
    <n v="1"/>
    <n v="1609"/>
    <n v="1609"/>
    <s v="UK"/>
    <x v="1"/>
    <s v="Ok"/>
    <b v="0"/>
    <x v="3"/>
    <s v="Valid"/>
    <s v="P07"/>
    <s v="Clean"/>
  </r>
  <r>
    <n v="1159"/>
    <s v="C159"/>
    <s v="2024-02-02"/>
    <s v="P13"/>
    <n v="1"/>
    <n v="8664"/>
    <n v="8664"/>
    <s v="India"/>
    <x v="1"/>
    <s v="Ok"/>
    <b v="0"/>
    <x v="0"/>
    <s v="Valid"/>
    <s v="P13"/>
    <s v="Clean"/>
  </r>
  <r>
    <n v="1160"/>
    <s v="C160"/>
    <s v="2024-02-15"/>
    <s v="P01"/>
    <n v="1"/>
    <n v="3268"/>
    <n v="3268"/>
    <s v="Canada"/>
    <x v="0"/>
    <s v="Ok"/>
    <b v="0"/>
    <x v="1"/>
    <s v="Valid"/>
    <s v="P01"/>
    <s v="Clean"/>
  </r>
  <r>
    <n v="1161"/>
    <s v="C161"/>
    <s v="2024-02-23"/>
    <s v="P13"/>
    <n v="3"/>
    <m/>
    <n v="12132"/>
    <s v="USA"/>
    <x v="0"/>
    <s v="Mismatch"/>
    <b v="0"/>
    <x v="2"/>
    <s v="Valid"/>
    <s v="P13"/>
    <s v="Problem"/>
  </r>
  <r>
    <n v="1162"/>
    <s v="C162"/>
    <s v="2024-01-16"/>
    <s v="P06"/>
    <n v="2"/>
    <n v="4672"/>
    <n v="9344"/>
    <s v="India"/>
    <x v="2"/>
    <s v="Ok"/>
    <b v="0"/>
    <x v="0"/>
    <s v="Valid"/>
    <s v="P06"/>
    <s v="Clean"/>
  </r>
  <r>
    <n v="1163"/>
    <s v="C163"/>
    <s v="2024-02-08"/>
    <s v="P13"/>
    <n v="2"/>
    <n v="4542"/>
    <n v="9084"/>
    <s v="Canada"/>
    <x v="2"/>
    <s v="Ok"/>
    <b v="0"/>
    <x v="1"/>
    <s v="Valid"/>
    <s v="P13"/>
    <s v="Clean"/>
  </r>
  <r>
    <n v="1164"/>
    <s v="C164"/>
    <s v="2024-02-25"/>
    <s v="P14"/>
    <n v="1"/>
    <n v="4896"/>
    <n v="4896"/>
    <s v="USA"/>
    <x v="2"/>
    <s v="Ok"/>
    <b v="0"/>
    <x v="2"/>
    <s v="Valid"/>
    <s v="P14"/>
    <s v="Clean"/>
  </r>
  <r>
    <n v="1165"/>
    <s v="C165"/>
    <s v="2024-01-27"/>
    <s v="P05"/>
    <n v="4"/>
    <n v="7613"/>
    <n v="30452"/>
    <s v="USA"/>
    <x v="0"/>
    <s v="Ok"/>
    <b v="0"/>
    <x v="2"/>
    <s v="Valid"/>
    <s v="P05"/>
    <s v="Clean"/>
  </r>
  <r>
    <n v="1166"/>
    <s v="C166"/>
    <s v="2024-02-17"/>
    <s v="P07"/>
    <n v="5"/>
    <n v="2363"/>
    <n v="11815"/>
    <s v="UK"/>
    <x v="2"/>
    <s v="Ok"/>
    <b v="0"/>
    <x v="3"/>
    <s v="Valid"/>
    <s v="P07"/>
    <s v="Clean"/>
  </r>
  <r>
    <n v="1167"/>
    <s v="C167"/>
    <s v="2024-02-23"/>
    <s v="P02"/>
    <n v="3"/>
    <n v="6545"/>
    <n v="19635"/>
    <s v="Canada"/>
    <x v="2"/>
    <s v="Ok"/>
    <b v="0"/>
    <x v="1"/>
    <s v="Valid"/>
    <s v="P02"/>
    <s v="Clean"/>
  </r>
  <r>
    <n v="1168"/>
    <s v="C168"/>
    <s v="2024-01-20"/>
    <s v="P11"/>
    <n v="5"/>
    <n v="4014"/>
    <n v="20070"/>
    <s v="Canada"/>
    <x v="0"/>
    <s v="Ok"/>
    <b v="0"/>
    <x v="1"/>
    <s v="Valid"/>
    <s v="P11"/>
    <s v="Clean"/>
  </r>
  <r>
    <n v="1169"/>
    <s v="C169"/>
    <s v="2024-01-11"/>
    <s v="P06"/>
    <n v="4"/>
    <n v="5515"/>
    <n v="22060"/>
    <s v="Canada"/>
    <x v="2"/>
    <s v="Ok"/>
    <b v="0"/>
    <x v="1"/>
    <s v="Valid"/>
    <s v="P06"/>
    <s v="Clean"/>
  </r>
  <r>
    <n v="1170"/>
    <s v="C170"/>
    <s v="2024-01-16"/>
    <s v="P09"/>
    <n v="3"/>
    <n v="3651"/>
    <n v="10953"/>
    <s v="India"/>
    <x v="2"/>
    <s v="Ok"/>
    <b v="0"/>
    <x v="0"/>
    <s v="Valid"/>
    <s v="P09"/>
    <s v="Clean"/>
  </r>
  <r>
    <n v="1171"/>
    <s v="C171"/>
    <s v="2024-01-12"/>
    <s v="P13"/>
    <n v="4"/>
    <n v="5950"/>
    <n v="23800"/>
    <s v="India"/>
    <x v="0"/>
    <s v="Ok"/>
    <b v="0"/>
    <x v="0"/>
    <s v="Valid"/>
    <s v="P13"/>
    <s v="Clean"/>
  </r>
  <r>
    <n v="1172"/>
    <s v="C172"/>
    <s v="2024-01-22"/>
    <s v="P14"/>
    <n v="1"/>
    <n v="4661"/>
    <n v="4661"/>
    <s v="USA"/>
    <x v="0"/>
    <s v="Ok"/>
    <b v="0"/>
    <x v="2"/>
    <s v="Valid"/>
    <s v="P14"/>
    <s v="Clean"/>
  </r>
  <r>
    <n v="1173"/>
    <s v="C173"/>
    <s v="2024-01-27"/>
    <s v="P11"/>
    <n v="2"/>
    <n v="2938"/>
    <n v="5876"/>
    <s v="India"/>
    <x v="1"/>
    <s v="Ok"/>
    <b v="0"/>
    <x v="0"/>
    <s v="Valid"/>
    <s v="P11"/>
    <s v="Clean"/>
  </r>
  <r>
    <n v="1174"/>
    <s v="C174"/>
    <s v="2024-01-17"/>
    <s v="P05"/>
    <n v="1"/>
    <n v="8375"/>
    <n v="8375"/>
    <s v="USA"/>
    <x v="2"/>
    <s v="Ok"/>
    <b v="0"/>
    <x v="2"/>
    <s v="Valid"/>
    <s v="P05"/>
    <s v="Clean"/>
  </r>
  <r>
    <n v="1175"/>
    <s v="C175"/>
    <s v="2024-01-06"/>
    <s v="P11"/>
    <n v="4"/>
    <n v="6020"/>
    <n v="24080"/>
    <s v="India"/>
    <x v="0"/>
    <s v="Ok"/>
    <b v="0"/>
    <x v="0"/>
    <s v="Valid"/>
    <s v="P11"/>
    <s v="Clean"/>
  </r>
  <r>
    <n v="1176"/>
    <s v="C176"/>
    <s v="2024-02-19"/>
    <s v="P07"/>
    <n v="2"/>
    <n v="8188"/>
    <n v="16376"/>
    <s v="USA"/>
    <x v="2"/>
    <s v="Ok"/>
    <b v="0"/>
    <x v="2"/>
    <s v="Valid"/>
    <s v="P07"/>
    <s v="Clean"/>
  </r>
  <r>
    <n v="1177"/>
    <s v="C177"/>
    <s v="2024-01-21"/>
    <s v="P02"/>
    <n v="3"/>
    <n v="2551"/>
    <n v="7653"/>
    <s v="USA"/>
    <x v="1"/>
    <s v="Ok"/>
    <b v="0"/>
    <x v="2"/>
    <s v="Valid"/>
    <s v="P02"/>
    <s v="Clean"/>
  </r>
  <r>
    <n v="1178"/>
    <s v="C178"/>
    <s v="2024-01-28"/>
    <s v="P01"/>
    <n v="5"/>
    <n v="9851"/>
    <n v="49255"/>
    <s v="India"/>
    <x v="1"/>
    <s v="Ok"/>
    <b v="0"/>
    <x v="0"/>
    <s v="Valid"/>
    <s v="P01"/>
    <s v="Clean"/>
  </r>
  <r>
    <n v="1179"/>
    <s v="C179"/>
    <s v="2024-01-18"/>
    <s v="P13"/>
    <n v="5"/>
    <n v="1022"/>
    <n v="5110"/>
    <s v="UK"/>
    <x v="0"/>
    <s v="Ok"/>
    <b v="0"/>
    <x v="3"/>
    <s v="Valid"/>
    <s v="P13"/>
    <s v="Clean"/>
  </r>
  <r>
    <n v="1180"/>
    <s v="C180"/>
    <s v="2024-01-10"/>
    <s v="P13"/>
    <n v="3"/>
    <n v="6220"/>
    <n v="18660"/>
    <s v="Canada"/>
    <x v="1"/>
    <s v="Ok"/>
    <b v="0"/>
    <x v="1"/>
    <s v="Valid"/>
    <s v="P13"/>
    <s v="Clean"/>
  </r>
  <r>
    <n v="1181"/>
    <s v="C181"/>
    <s v="2024-01-24"/>
    <s v="P02"/>
    <n v="4"/>
    <n v="5820"/>
    <n v="23280"/>
    <s v="Canada"/>
    <x v="0"/>
    <s v="Ok"/>
    <b v="0"/>
    <x v="1"/>
    <s v="Valid"/>
    <s v="P02"/>
    <s v="Clean"/>
  </r>
  <r>
    <n v="1182"/>
    <s v="C182"/>
    <s v="2024-01-02"/>
    <s v="P04"/>
    <n v="4"/>
    <n v="6762"/>
    <n v="27048"/>
    <s v="Canada"/>
    <x v="0"/>
    <s v="Ok"/>
    <b v="0"/>
    <x v="1"/>
    <s v="Valid"/>
    <s v="P04"/>
    <s v="Clean"/>
  </r>
  <r>
    <n v="1183"/>
    <s v="C183"/>
    <s v="2024-01-05"/>
    <s v="P06"/>
    <n v="3"/>
    <n v="4829"/>
    <n v="14487"/>
    <s v="USA"/>
    <x v="1"/>
    <s v="Ok"/>
    <b v="0"/>
    <x v="2"/>
    <s v="Valid"/>
    <s v="P06"/>
    <s v="Clean"/>
  </r>
  <r>
    <n v="1184"/>
    <s v="C184"/>
    <s v="2024-01-08"/>
    <s v="P12"/>
    <n v="4"/>
    <n v="6698"/>
    <n v="26792"/>
    <s v="UK"/>
    <x v="1"/>
    <s v="Ok"/>
    <b v="0"/>
    <x v="3"/>
    <s v="Valid"/>
    <s v="P12"/>
    <s v="Clean"/>
  </r>
  <r>
    <n v="1185"/>
    <s v="C185"/>
    <s v="2024-01-07"/>
    <s v="P02"/>
    <n v="2"/>
    <n v="1453"/>
    <n v="2906"/>
    <s v="USA"/>
    <x v="2"/>
    <s v="Ok"/>
    <b v="0"/>
    <x v="2"/>
    <s v="Valid"/>
    <s v="P02"/>
    <s v="Clean"/>
  </r>
  <r>
    <n v="1186"/>
    <s v="C186"/>
    <s v="2024-02-22"/>
    <s v="P08"/>
    <n v="4"/>
    <n v="8605"/>
    <n v="34420"/>
    <s v="India"/>
    <x v="1"/>
    <s v="Ok"/>
    <b v="0"/>
    <x v="0"/>
    <s v="Valid"/>
    <s v="P08"/>
    <s v="Clean"/>
  </r>
  <r>
    <n v="1187"/>
    <s v="C187"/>
    <s v="2024-01-03"/>
    <s v="P14"/>
    <n v="3"/>
    <n v="8145"/>
    <n v="24435"/>
    <s v="USA"/>
    <x v="2"/>
    <s v="Ok"/>
    <b v="0"/>
    <x v="2"/>
    <s v="Valid"/>
    <s v="P14"/>
    <s v="Clean"/>
  </r>
  <r>
    <n v="1188"/>
    <s v="C188"/>
    <s v="2024-03-01"/>
    <s v="P13"/>
    <n v="4"/>
    <n v="4818"/>
    <n v="19272"/>
    <s v="UK"/>
    <x v="0"/>
    <s v="Ok"/>
    <b v="0"/>
    <x v="3"/>
    <s v="Valid"/>
    <s v="P13"/>
    <s v="Clean"/>
  </r>
  <r>
    <n v="1189"/>
    <s v="C189"/>
    <s v="2024-02-22"/>
    <s v="P06"/>
    <n v="3"/>
    <n v="2745"/>
    <n v="8235"/>
    <s v="India"/>
    <x v="2"/>
    <s v="Ok"/>
    <b v="0"/>
    <x v="0"/>
    <s v="Valid"/>
    <s v="P06"/>
    <s v="Clean"/>
  </r>
  <r>
    <n v="1190"/>
    <s v="C190"/>
    <s v="2024-02-13"/>
    <s v="P13"/>
    <n v="3"/>
    <n v="5497"/>
    <n v="16491"/>
    <s v="India"/>
    <x v="1"/>
    <s v="Ok"/>
    <b v="0"/>
    <x v="0"/>
    <s v="Valid"/>
    <s v="P13"/>
    <s v="Clean"/>
  </r>
  <r>
    <n v="1191"/>
    <s v="C191"/>
    <s v="2024-02-19"/>
    <s v="P13"/>
    <n v="3"/>
    <n v="2145"/>
    <n v="6435"/>
    <s v="Canada"/>
    <x v="0"/>
    <s v="Ok"/>
    <b v="0"/>
    <x v="1"/>
    <s v="Valid"/>
    <s v="P13"/>
    <s v="Clean"/>
  </r>
  <r>
    <n v="1192"/>
    <s v="C192"/>
    <s v="2024-02-02"/>
    <s v="P13"/>
    <n v="4"/>
    <n v="4301"/>
    <n v="17204"/>
    <s v="USA"/>
    <x v="2"/>
    <s v="Ok"/>
    <b v="0"/>
    <x v="2"/>
    <s v="Valid"/>
    <s v="P13"/>
    <s v="Clean"/>
  </r>
  <r>
    <n v="1193"/>
    <s v="C193"/>
    <s v="2024-01-28"/>
    <s v="P08"/>
    <n v="3"/>
    <n v="5829"/>
    <n v="17487"/>
    <s v="UK"/>
    <x v="1"/>
    <s v="Ok"/>
    <b v="0"/>
    <x v="3"/>
    <s v="Valid"/>
    <s v="P08"/>
    <s v="Clean"/>
  </r>
  <r>
    <n v="1194"/>
    <s v="C194"/>
    <s v="2024-01-20"/>
    <s v="P06"/>
    <n v="5"/>
    <n v="1182"/>
    <n v="5910"/>
    <s v="USA"/>
    <x v="0"/>
    <s v="Ok"/>
    <b v="0"/>
    <x v="2"/>
    <s v="Valid"/>
    <s v="P06"/>
    <s v="Clean"/>
  </r>
  <r>
    <n v="1195"/>
    <s v="C195"/>
    <s v="2024-01-21"/>
    <s v="P08"/>
    <n v="3"/>
    <n v="2921"/>
    <n v="8763"/>
    <s v="UK"/>
    <x v="1"/>
    <s v="Ok"/>
    <b v="0"/>
    <x v="3"/>
    <s v="Valid"/>
    <s v="P08"/>
    <s v="Clean"/>
  </r>
  <r>
    <n v="1196"/>
    <s v="C196"/>
    <s v="2024-01-22"/>
    <s v="P09"/>
    <n v="4"/>
    <n v="4644"/>
    <n v="18576"/>
    <s v="India"/>
    <x v="2"/>
    <s v="Ok"/>
    <b v="0"/>
    <x v="0"/>
    <s v="Valid"/>
    <s v="P09"/>
    <s v="Clean"/>
  </r>
  <r>
    <n v="1197"/>
    <s v="C197"/>
    <s v="2024-01-10"/>
    <s v="P08"/>
    <n v="3"/>
    <n v="9347"/>
    <n v="28041"/>
    <s v="Canada"/>
    <x v="0"/>
    <s v="Ok"/>
    <b v="0"/>
    <x v="1"/>
    <s v="Valid"/>
    <s v="P08"/>
    <s v="Clean"/>
  </r>
  <r>
    <n v="1198"/>
    <s v="C198"/>
    <s v="2024-02-28"/>
    <s v="P15"/>
    <n v="5"/>
    <n v="3250"/>
    <n v="16250"/>
    <s v="UK"/>
    <x v="0"/>
    <s v="Ok"/>
    <b v="0"/>
    <x v="3"/>
    <s v="Valid"/>
    <s v="P15"/>
    <s v="Clean"/>
  </r>
  <r>
    <n v="1199"/>
    <s v="C199"/>
    <s v="2024-01-10"/>
    <s v="P03"/>
    <n v="3"/>
    <n v="2535"/>
    <n v="7605"/>
    <s v="USA"/>
    <x v="1"/>
    <s v="Ok"/>
    <b v="0"/>
    <x v="2"/>
    <s v="Valid"/>
    <s v="P03"/>
    <s v="Clean"/>
  </r>
  <r>
    <n v="1200"/>
    <s v="C200"/>
    <s v="2024-01-05"/>
    <s v="P14"/>
    <n v="2"/>
    <n v="8950"/>
    <n v="17900"/>
    <s v="UK"/>
    <x v="0"/>
    <s v="Ok"/>
    <b v="0"/>
    <x v="3"/>
    <s v="Valid"/>
    <s v="P14"/>
    <s v="Clean"/>
  </r>
  <r>
    <n v="1201"/>
    <s v="C201"/>
    <s v="2024-02-23"/>
    <s v="P06"/>
    <n v="4"/>
    <n v="2470"/>
    <n v="9880"/>
    <s v="USA"/>
    <x v="0"/>
    <s v="Ok"/>
    <b v="0"/>
    <x v="2"/>
    <s v="Valid"/>
    <s v="P06"/>
    <s v="Clean"/>
  </r>
  <r>
    <n v="1202"/>
    <s v="C202"/>
    <s v="2024-02-24"/>
    <s v="P14"/>
    <n v="5"/>
    <n v="2580"/>
    <n v="12900"/>
    <s v="India"/>
    <x v="0"/>
    <s v="Ok"/>
    <b v="0"/>
    <x v="0"/>
    <s v="Valid"/>
    <s v="P14"/>
    <s v="Clean"/>
  </r>
  <r>
    <n v="1203"/>
    <s v="C203"/>
    <s v="2024-02-03"/>
    <s v="P06"/>
    <n v="2"/>
    <n v="569"/>
    <n v="1138"/>
    <s v="UK"/>
    <x v="0"/>
    <s v="Ok"/>
    <b v="0"/>
    <x v="3"/>
    <s v="Valid"/>
    <s v="P06"/>
    <s v="Clean"/>
  </r>
  <r>
    <n v="1204"/>
    <s v="C204"/>
    <s v="2024-01-14"/>
    <s v="P08"/>
    <n v="4"/>
    <n v="1388"/>
    <n v="5552"/>
    <s v="Canada"/>
    <x v="2"/>
    <s v="Ok"/>
    <b v="0"/>
    <x v="1"/>
    <s v="Valid"/>
    <s v="P08"/>
    <s v="Clean"/>
  </r>
  <r>
    <n v="1205"/>
    <s v="C205"/>
    <s v="2024-02-15"/>
    <s v="P04"/>
    <n v="5"/>
    <n v="1167"/>
    <n v="5835"/>
    <s v="USA"/>
    <x v="1"/>
    <s v="Ok"/>
    <b v="0"/>
    <x v="2"/>
    <s v="Valid"/>
    <s v="P04"/>
    <s v="Clean"/>
  </r>
  <r>
    <n v="1206"/>
    <s v="C206"/>
    <s v="2024-02-09"/>
    <s v="P08"/>
    <n v="1"/>
    <n v="9266"/>
    <n v="9266"/>
    <s v="Canada"/>
    <x v="0"/>
    <s v="Ok"/>
    <b v="0"/>
    <x v="1"/>
    <s v="Valid"/>
    <s v="P08"/>
    <s v="Clean"/>
  </r>
  <r>
    <n v="1207"/>
    <s v="C207"/>
    <s v="2024-02-29"/>
    <s v="P07"/>
    <n v="5"/>
    <n v="8736"/>
    <n v="43680"/>
    <s v="UK"/>
    <x v="0"/>
    <s v="Ok"/>
    <b v="0"/>
    <x v="3"/>
    <s v="Valid"/>
    <s v="P07"/>
    <s v="Clean"/>
  </r>
  <r>
    <n v="1208"/>
    <s v="C208"/>
    <s v="2024-01-21"/>
    <s v="P11"/>
    <n v="4"/>
    <n v="7666"/>
    <n v="30664"/>
    <s v="USA"/>
    <x v="2"/>
    <s v="Ok"/>
    <b v="0"/>
    <x v="2"/>
    <s v="Valid"/>
    <s v="P11"/>
    <s v="Clean"/>
  </r>
  <r>
    <n v="1209"/>
    <s v="C209"/>
    <s v="2024-02-26"/>
    <s v="P08"/>
    <n v="5"/>
    <n v="2384"/>
    <n v="11920"/>
    <s v="Canada"/>
    <x v="1"/>
    <s v="Ok"/>
    <b v="0"/>
    <x v="1"/>
    <s v="Valid"/>
    <s v="P08"/>
    <s v="Clean"/>
  </r>
  <r>
    <n v="1210"/>
    <s v="C210"/>
    <s v="2024-01-13"/>
    <s v="P08"/>
    <n v="2"/>
    <n v="8753"/>
    <n v="17506"/>
    <s v="Canada"/>
    <x v="2"/>
    <s v="Ok"/>
    <b v="0"/>
    <x v="1"/>
    <s v="Valid"/>
    <s v="P08"/>
    <s v="Clean"/>
  </r>
  <r>
    <n v="1211"/>
    <s v="C211"/>
    <s v="2024-01-19"/>
    <s v="P05"/>
    <n v="1"/>
    <n v="1428"/>
    <n v="1428"/>
    <s v="India"/>
    <x v="1"/>
    <s v="Ok"/>
    <b v="0"/>
    <x v="0"/>
    <s v="Valid"/>
    <s v="P05"/>
    <s v="Clean"/>
  </r>
  <r>
    <n v="1212"/>
    <s v="C212"/>
    <s v="2024-02-03"/>
    <s v="P05"/>
    <n v="2"/>
    <n v="1800"/>
    <n v="3600"/>
    <s v="Canada"/>
    <x v="2"/>
    <s v="Ok"/>
    <b v="0"/>
    <x v="1"/>
    <s v="Valid"/>
    <s v="P05"/>
    <s v="Clean"/>
  </r>
  <r>
    <n v="1213"/>
    <s v="C213"/>
    <s v="2024-01-14"/>
    <s v="P12"/>
    <n v="5"/>
    <n v="5731"/>
    <n v="28655"/>
    <s v="UK"/>
    <x v="1"/>
    <s v="Ok"/>
    <b v="0"/>
    <x v="3"/>
    <s v="Valid"/>
    <s v="P12"/>
    <s v="Clean"/>
  </r>
  <r>
    <n v="1214"/>
    <s v="C214"/>
    <s v="2024-02-05"/>
    <s v="P08"/>
    <n v="2"/>
    <n v="4614"/>
    <n v="9228"/>
    <s v="India"/>
    <x v="0"/>
    <s v="Ok"/>
    <b v="0"/>
    <x v="0"/>
    <s v="Valid"/>
    <s v="P08"/>
    <s v="Clean"/>
  </r>
  <r>
    <n v="1215"/>
    <s v="C215"/>
    <s v="2024-02-15"/>
    <s v="P06"/>
    <n v="2"/>
    <n v="6083"/>
    <n v="12166"/>
    <s v="UK"/>
    <x v="0"/>
    <s v="Ok"/>
    <b v="0"/>
    <x v="3"/>
    <s v="Valid"/>
    <s v="P06"/>
    <s v="Clean"/>
  </r>
  <r>
    <n v="1216"/>
    <s v="C216"/>
    <s v="2024-02-23"/>
    <s v="P15"/>
    <n v="4"/>
    <n v="5311"/>
    <n v="21244"/>
    <s v="UK"/>
    <x v="0"/>
    <s v="Ok"/>
    <b v="0"/>
    <x v="3"/>
    <s v="Valid"/>
    <s v="P15"/>
    <s v="Clean"/>
  </r>
  <r>
    <n v="1217"/>
    <s v="C217"/>
    <s v="2024-01-15"/>
    <s v="P12"/>
    <n v="5"/>
    <n v="7985"/>
    <n v="39925"/>
    <s v="USA"/>
    <x v="1"/>
    <s v="Ok"/>
    <b v="0"/>
    <x v="2"/>
    <s v="Valid"/>
    <s v="P12"/>
    <s v="Clean"/>
  </r>
  <r>
    <n v="1218"/>
    <s v="C218"/>
    <s v="2024-02-01"/>
    <s v="P10"/>
    <n v="2"/>
    <n v="5382"/>
    <n v="10764"/>
    <s v="USA"/>
    <x v="1"/>
    <s v="Ok"/>
    <b v="0"/>
    <x v="2"/>
    <s v="Valid"/>
    <s v="P10"/>
    <s v="Clean"/>
  </r>
  <r>
    <n v="1219"/>
    <s v="C219"/>
    <s v="2024-01-20"/>
    <s v="P13"/>
    <n v="3"/>
    <n v="4467"/>
    <n v="13401"/>
    <s v="UK"/>
    <x v="0"/>
    <s v="Ok"/>
    <b v="0"/>
    <x v="3"/>
    <s v="Valid"/>
    <s v="P13"/>
    <s v="Clean"/>
  </r>
  <r>
    <n v="1220"/>
    <s v="C220"/>
    <s v="2024-01-16"/>
    <s v="P02"/>
    <n v="4"/>
    <n v="3222"/>
    <n v="12888"/>
    <s v="India"/>
    <x v="1"/>
    <s v="Ok"/>
    <b v="0"/>
    <x v="0"/>
    <s v="Valid"/>
    <s v="P02"/>
    <s v="Clean"/>
  </r>
  <r>
    <n v="1221"/>
    <s v="C221"/>
    <s v="2024-02-05"/>
    <s v="P06"/>
    <n v="4"/>
    <n v="1293"/>
    <n v="5172"/>
    <s v="UK"/>
    <x v="1"/>
    <s v="Ok"/>
    <b v="0"/>
    <x v="3"/>
    <s v="Valid"/>
    <s v="P06"/>
    <s v="Clean"/>
  </r>
  <r>
    <n v="1222"/>
    <s v="C222"/>
    <s v="2024-01-07"/>
    <s v="P11"/>
    <n v="2"/>
    <n v="4518"/>
    <n v="9036"/>
    <s v="Canada"/>
    <x v="1"/>
    <s v="Ok"/>
    <b v="0"/>
    <x v="1"/>
    <s v="Valid"/>
    <s v="P11"/>
    <s v="Clean"/>
  </r>
  <r>
    <n v="1223"/>
    <s v="C223"/>
    <s v="2024-01-17"/>
    <s v="P14"/>
    <n v="4"/>
    <n v="4292"/>
    <n v="17168"/>
    <s v="Canada"/>
    <x v="0"/>
    <s v="Ok"/>
    <b v="0"/>
    <x v="1"/>
    <s v="Valid"/>
    <s v="P14"/>
    <s v="Clean"/>
  </r>
  <r>
    <n v="1224"/>
    <s v="C224"/>
    <s v="2024-01-21"/>
    <s v="P13"/>
    <n v="5"/>
    <n v="4253"/>
    <n v="21265"/>
    <s v="Canada"/>
    <x v="0"/>
    <s v="Ok"/>
    <b v="0"/>
    <x v="1"/>
    <s v="Valid"/>
    <s v="P13"/>
    <s v="Clean"/>
  </r>
  <r>
    <n v="1225"/>
    <s v="C225"/>
    <s v="2024-01-20"/>
    <s v="P07"/>
    <n v="4"/>
    <n v="9269"/>
    <n v="37076"/>
    <s v="India"/>
    <x v="2"/>
    <s v="Ok"/>
    <b v="0"/>
    <x v="0"/>
    <s v="Valid"/>
    <s v="P07"/>
    <s v="Clean"/>
  </r>
  <r>
    <n v="1226"/>
    <s v="C226"/>
    <s v="2024-02-08"/>
    <s v="P05"/>
    <n v="1"/>
    <n v="6805"/>
    <n v="6805"/>
    <s v="Canada"/>
    <x v="2"/>
    <s v="Ok"/>
    <b v="0"/>
    <x v="1"/>
    <s v="Valid"/>
    <s v="P05"/>
    <s v="Clean"/>
  </r>
  <r>
    <n v="1227"/>
    <s v="C227"/>
    <s v="2024-02-14"/>
    <s v="P10"/>
    <n v="1"/>
    <n v="4827"/>
    <n v="4827"/>
    <s v="Canada"/>
    <x v="1"/>
    <s v="Ok"/>
    <b v="0"/>
    <x v="1"/>
    <s v="Valid"/>
    <s v="P10"/>
    <s v="Clean"/>
  </r>
  <r>
    <n v="1228"/>
    <s v="C228"/>
    <s v="2024-02-18"/>
    <s v="P09"/>
    <n v="3"/>
    <n v="6057"/>
    <n v="18171"/>
    <s v="USA"/>
    <x v="0"/>
    <s v="Ok"/>
    <b v="0"/>
    <x v="2"/>
    <s v="Valid"/>
    <s v="P09"/>
    <s v="Clean"/>
  </r>
  <r>
    <n v="1229"/>
    <s v="C229"/>
    <s v="2024-01-30"/>
    <s v="P07"/>
    <n v="3"/>
    <n v="1583"/>
    <n v="4749"/>
    <s v="UK"/>
    <x v="0"/>
    <s v="Ok"/>
    <b v="0"/>
    <x v="3"/>
    <s v="Valid"/>
    <s v="P07"/>
    <s v="Clean"/>
  </r>
  <r>
    <n v="1230"/>
    <s v="C230"/>
    <s v="2024-02-23"/>
    <s v="P06"/>
    <n v="4"/>
    <n v="843"/>
    <n v="3372"/>
    <s v="USA"/>
    <x v="1"/>
    <s v="Ok"/>
    <b v="0"/>
    <x v="2"/>
    <s v="Valid"/>
    <s v="P06"/>
    <s v="Clean"/>
  </r>
  <r>
    <n v="1231"/>
    <s v="C231"/>
    <s v="2024-02-26"/>
    <s v="P02"/>
    <n v="5"/>
    <n v="5937"/>
    <n v="29685"/>
    <s v="India"/>
    <x v="0"/>
    <s v="Ok"/>
    <b v="0"/>
    <x v="0"/>
    <s v="Valid"/>
    <s v="P02"/>
    <s v="Clean"/>
  </r>
  <r>
    <n v="1232"/>
    <s v="C232"/>
    <s v="2024-02-25"/>
    <s v="P01"/>
    <n v="1"/>
    <n v="8519"/>
    <n v="8519"/>
    <s v="India"/>
    <x v="0"/>
    <s v="Ok"/>
    <b v="0"/>
    <x v="0"/>
    <s v="Valid"/>
    <s v="P01"/>
    <s v="Clean"/>
  </r>
  <r>
    <n v="1233"/>
    <s v="C233"/>
    <s v="2024-01-28"/>
    <s v="P12"/>
    <n v="1"/>
    <n v="1144"/>
    <n v="1144"/>
    <s v="India"/>
    <x v="1"/>
    <s v="Ok"/>
    <b v="0"/>
    <x v="0"/>
    <s v="Valid"/>
    <s v="P12"/>
    <s v="Clean"/>
  </r>
  <r>
    <n v="1234"/>
    <s v="C234"/>
    <s v="2024-02-22"/>
    <s v="P07"/>
    <n v="3"/>
    <n v="6096"/>
    <n v="18288"/>
    <s v="USA"/>
    <x v="0"/>
    <s v="Ok"/>
    <b v="0"/>
    <x v="2"/>
    <s v="Valid"/>
    <s v="P07"/>
    <s v="Clean"/>
  </r>
  <r>
    <n v="1235"/>
    <s v="C235"/>
    <s v="2024-01-06"/>
    <s v="P05"/>
    <n v="1"/>
    <n v="4661"/>
    <n v="4661"/>
    <s v="USA"/>
    <x v="1"/>
    <s v="Ok"/>
    <b v="0"/>
    <x v="2"/>
    <s v="Valid"/>
    <s v="P05"/>
    <s v="Clean"/>
  </r>
  <r>
    <n v="1236"/>
    <s v="C236"/>
    <s v="2024-01-04"/>
    <s v="P03"/>
    <n v="5"/>
    <n v="5430"/>
    <n v="27150"/>
    <s v="Canada"/>
    <x v="2"/>
    <s v="Ok"/>
    <b v="0"/>
    <x v="1"/>
    <s v="Valid"/>
    <s v="P03"/>
    <s v="Clean"/>
  </r>
  <r>
    <n v="1237"/>
    <s v="C237"/>
    <s v="2024-01-11"/>
    <s v="P09"/>
    <n v="4"/>
    <n v="3916"/>
    <n v="15664"/>
    <s v="India"/>
    <x v="1"/>
    <s v="Ok"/>
    <b v="0"/>
    <x v="0"/>
    <s v="Valid"/>
    <s v="P09"/>
    <s v="Clean"/>
  </r>
  <r>
    <n v="1238"/>
    <s v="C238"/>
    <s v="2024-02-04"/>
    <s v="P08"/>
    <n v="2"/>
    <n v="7467"/>
    <n v="14934"/>
    <s v="Canada"/>
    <x v="2"/>
    <s v="Ok"/>
    <b v="0"/>
    <x v="1"/>
    <s v="Valid"/>
    <s v="P08"/>
    <s v="Clean"/>
  </r>
  <r>
    <n v="1239"/>
    <s v="C239"/>
    <s v="2024-01-16"/>
    <s v="P04"/>
    <n v="1"/>
    <n v="1249"/>
    <n v="1249"/>
    <s v="UK"/>
    <x v="2"/>
    <s v="Ok"/>
    <b v="0"/>
    <x v="3"/>
    <s v="Valid"/>
    <s v="P04"/>
    <s v="Clean"/>
  </r>
  <r>
    <n v="1240"/>
    <s v="C240"/>
    <s v="2024-01-19"/>
    <s v="P07"/>
    <n v="2"/>
    <n v="7905"/>
    <n v="15810"/>
    <s v="USA"/>
    <x v="1"/>
    <s v="Ok"/>
    <b v="0"/>
    <x v="2"/>
    <s v="Valid"/>
    <s v="P07"/>
    <s v="Clean"/>
  </r>
  <r>
    <n v="1241"/>
    <s v="C241"/>
    <s v="2024-01-27"/>
    <s v="P10"/>
    <n v="5"/>
    <n v="9443"/>
    <n v="47215"/>
    <s v="UK"/>
    <x v="2"/>
    <s v="Ok"/>
    <b v="0"/>
    <x v="3"/>
    <s v="Valid"/>
    <s v="P10"/>
    <s v="Clean"/>
  </r>
  <r>
    <n v="1242"/>
    <s v="C242"/>
    <s v="2024-02-07"/>
    <s v="P06"/>
    <n v="1"/>
    <n v="7209"/>
    <n v="7209"/>
    <s v="USA"/>
    <x v="2"/>
    <s v="Ok"/>
    <b v="0"/>
    <x v="2"/>
    <s v="Valid"/>
    <s v="P06"/>
    <s v="Clean"/>
  </r>
  <r>
    <n v="1243"/>
    <s v="C243"/>
    <s v="2024-02-17"/>
    <s v="P12"/>
    <n v="3"/>
    <n v="2433"/>
    <n v="7299"/>
    <s v="Canada"/>
    <x v="1"/>
    <s v="Ok"/>
    <b v="0"/>
    <x v="1"/>
    <s v="Valid"/>
    <s v="P12"/>
    <s v="Clean"/>
  </r>
  <r>
    <n v="1244"/>
    <s v="C244"/>
    <s v="2024-01-02"/>
    <s v="P08"/>
    <n v="3"/>
    <n v="2502"/>
    <n v="7506"/>
    <s v="UK"/>
    <x v="2"/>
    <s v="Ok"/>
    <b v="0"/>
    <x v="3"/>
    <s v="Valid"/>
    <s v="P08"/>
    <s v="Clean"/>
  </r>
  <r>
    <n v="1245"/>
    <s v="C245"/>
    <s v="2024-01-08"/>
    <s v="P10"/>
    <n v="1"/>
    <n v="3892"/>
    <n v="3892"/>
    <s v="India"/>
    <x v="1"/>
    <s v="Ok"/>
    <b v="0"/>
    <x v="0"/>
    <s v="Valid"/>
    <s v="P10"/>
    <s v="Clean"/>
  </r>
  <r>
    <n v="1246"/>
    <s v="C246"/>
    <s v="2024-01-19"/>
    <s v="P04"/>
    <n v="1"/>
    <n v="5209"/>
    <n v="5209"/>
    <s v="Canada"/>
    <x v="1"/>
    <s v="Ok"/>
    <b v="0"/>
    <x v="1"/>
    <s v="Valid"/>
    <s v="P04"/>
    <s v="Clean"/>
  </r>
  <r>
    <n v="1247"/>
    <s v="C247"/>
    <s v="2024-02-09"/>
    <s v="P06"/>
    <n v="3"/>
    <n v="3379"/>
    <n v="10137"/>
    <s v="Canada"/>
    <x v="2"/>
    <s v="Ok"/>
    <b v="0"/>
    <x v="1"/>
    <s v="Valid"/>
    <s v="P06"/>
    <s v="Clean"/>
  </r>
  <r>
    <n v="1248"/>
    <s v="C248"/>
    <s v="2024-01-12"/>
    <s v="P15"/>
    <n v="4"/>
    <n v="1713"/>
    <n v="6852"/>
    <s v="UK"/>
    <x v="2"/>
    <s v="Ok"/>
    <b v="0"/>
    <x v="3"/>
    <s v="Valid"/>
    <s v="P15"/>
    <s v="Clean"/>
  </r>
  <r>
    <n v="1249"/>
    <s v="C249"/>
    <s v="2024-01-07"/>
    <s v="P03"/>
    <n v="2"/>
    <n v="8723"/>
    <n v="17446"/>
    <s v="UK"/>
    <x v="2"/>
    <s v="Ok"/>
    <b v="0"/>
    <x v="3"/>
    <s v="Valid"/>
    <s v="P03"/>
    <s v="Clean"/>
  </r>
  <r>
    <n v="1250"/>
    <s v="C250"/>
    <s v="2024-02-16"/>
    <s v="P05"/>
    <n v="3"/>
    <n v="7954"/>
    <n v="23862"/>
    <s v="UK"/>
    <x v="2"/>
    <s v="Ok"/>
    <b v="0"/>
    <x v="3"/>
    <s v="Valid"/>
    <s v="P05"/>
    <s v="Cle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54559-F27C-4478-A01D-0CB1C3CB3C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9" firstHeaderRow="1" firstDataRow="1" firstDataCol="1"/>
  <pivotFields count="15">
    <pivotField dataField="1" showAll="0"/>
    <pivotField showAll="0"/>
    <pivotField showAll="0"/>
    <pivotField showAll="0"/>
    <pivotField numFmtId="2" showAll="0"/>
    <pivotField showAll="0"/>
    <pivotField numFmtId="164" showAll="0"/>
    <pivotField showAll="0"/>
    <pivotField axis="axisRow" showAll="0">
      <items count="6">
        <item x="1"/>
        <item x="0"/>
        <item x="3"/>
        <item x="2"/>
        <item x="4"/>
        <item t="default"/>
      </items>
    </pivotField>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_ID" fld="0" subtotal="count"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FFF0D-A3F7-426A-808E-D997AD99E9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showAll="0"/>
    <pivotField showAll="0"/>
    <pivotField showAll="0"/>
    <pivotField showAll="0"/>
    <pivotField numFmtId="2" showAll="0"/>
    <pivotField showAll="0"/>
    <pivotField dataField="1" numFmtId="164" showAll="0"/>
    <pivotField showAll="0"/>
    <pivotField showAll="0"/>
    <pivotField showAll="0"/>
    <pivotField showAll="0"/>
    <pivotField axis="axisRow" showAll="0">
      <items count="6">
        <item x="1"/>
        <item x="0"/>
        <item m="1" x="4"/>
        <item x="3"/>
        <item x="2"/>
        <item t="default"/>
      </items>
    </pivotField>
    <pivotField showAll="0"/>
    <pivotField showAll="0"/>
    <pivotField showAll="0"/>
  </pivotFields>
  <rowFields count="1">
    <field x="11"/>
  </rowFields>
  <rowItems count="5">
    <i>
      <x/>
    </i>
    <i>
      <x v="1"/>
    </i>
    <i>
      <x v="3"/>
    </i>
    <i>
      <x v="4"/>
    </i>
    <i t="grand">
      <x/>
    </i>
  </rowItems>
  <colItems count="1">
    <i/>
  </colItems>
  <dataFields count="1">
    <dataField name="Count of Total_Revenue" fld="6"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659D2B-5A50-42EE-9DDC-CE3E154B937D}" name="Table4" displayName="Table4" ref="A1:E14" totalsRowShown="0">
  <autoFilter ref="A1:E14" xr:uid="{2E659D2B-5A50-42EE-9DDC-CE3E154B937D}"/>
  <tableColumns count="5">
    <tableColumn id="1" xr3:uid="{CFA53ECC-E309-4D5B-B43D-69A8A595C316}" name="Tasks"/>
    <tableColumn id="2" xr3:uid="{CF50F488-3101-46E4-8C3E-2CA546A424E3}" name="Issue"/>
    <tableColumn id="3" xr3:uid="{2CC7BB9F-E5A5-4205-A6B7-A7A879A387B7}" name="Impact"/>
    <tableColumn id="4" xr3:uid="{202D1F46-C6CF-4FF4-B20B-A1A345878884}" name="Recommendation"/>
    <tableColumn id="5" xr3:uid="{B6852517-9FF1-48EA-AED3-5F01348A3F73}" name="Action Take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853720-C825-416C-A69D-5722005F1DB8}" name="Table1" displayName="Table1" ref="A1:O252" totalsRowCount="1" headerRowDxfId="15">
  <autoFilter ref="A1:O251" xr:uid="{04853720-C825-416C-A69D-5722005F1DB8}"/>
  <tableColumns count="15">
    <tableColumn id="1" xr3:uid="{00258ED6-3379-4206-95F3-1FD0950056D1}" name="Order_ID"/>
    <tableColumn id="2" xr3:uid="{4C5C3E22-2BAA-48B9-BA30-7970123F909E}" name="Customer_ID"/>
    <tableColumn id="3" xr3:uid="{D952F4D2-2994-474E-BA2C-D567DAE1CCD8}" name="Order_Date" dataDxfId="14" totalsRowDxfId="13"/>
    <tableColumn id="4" xr3:uid="{109BA042-1948-424F-A5BA-660FE1D2B997}" name="Product_ID"/>
    <tableColumn id="5" xr3:uid="{E97FE269-23EE-4ED7-B56C-3FCF1A852ACB}" name="Quantity" dataDxfId="12" totalsRowDxfId="11"/>
    <tableColumn id="6" xr3:uid="{FC0D2DB4-40CA-457E-BD9B-EF4E28DE8CBA}" name="Unit_Price" dataDxfId="10" totalsRowDxfId="9"/>
    <tableColumn id="7" xr3:uid="{E907C9C8-8ED1-4A24-99CE-04ED6581D011}" name="Total_Revenue" totalsRowFunction="custom" dataDxfId="8" totalsRowDxfId="7">
      <totalsRowFormula>SUM(G2:G251)</totalsRowFormula>
    </tableColumn>
    <tableColumn id="8" xr3:uid="{156EBCE2-C413-4E01-BE88-FC629155E8A2}" name="Country"/>
    <tableColumn id="9" xr3:uid="{CB5DC2E0-2E2F-4BF7-A54A-C66A2556FF5F}" name="Status"/>
    <tableColumn id="10" xr3:uid="{13C260F9-4F63-4118-B6A1-CF95EC0FACAF}" name="Revenue_Check" dataDxfId="6">
      <calculatedColumnFormula>IF(G2&lt;&gt;(E2*F2), "Mismatch", "Ok")</calculatedColumnFormula>
    </tableColumn>
    <tableColumn id="11" xr3:uid="{102A244D-A00C-43D7-9FDA-93D38BC6C7A6}" name="Date_Check" dataDxfId="5">
      <calculatedColumnFormula>ISNUMBER(C2)</calculatedColumnFormula>
    </tableColumn>
    <tableColumn id="12" xr3:uid="{5BC4F158-7E82-41FF-A6C0-8E8A136DDEF6}" name="Country_Validation" dataDxfId="4">
      <calculatedColumnFormula>_xlfn.XLOOKUP(
    UPPER(SUBSTITUTE(TRIM(H2),".","")),
    A:A,
    B:B,
    UPPER(SUBSTITUTE(TRIM(H2),".",""))
)</calculatedColumnFormula>
    </tableColumn>
    <tableColumn id="13" xr3:uid="{7937529A-F54C-4D9E-848D-852F160C815C}" name="Order_Validation" dataDxfId="3">
      <calculatedColumnFormula>IF(OR(I2="Completed", I2="Pending", I2="Cancelled"), "Valid", "Invalid")</calculatedColumnFormula>
    </tableColumn>
    <tableColumn id="14" xr3:uid="{CBC85C9B-358A-45F1-87BF-4BC66A9D1D3E}" name="Product_Validation2" dataDxfId="2">
      <calculatedColumnFormula>_xlfn.XLOOKUP(D2, Product_Master!A:A, Product_Master!A:A, "Invalid")</calculatedColumnFormula>
    </tableColumn>
    <tableColumn id="15" xr3:uid="{841A8C94-C883-43F3-9965-BF276EA16236}" name="Row_Issues" dataDxfId="1">
      <calculatedColumnFormula>IF(OR(J2="Mismatch", K2="False", M2="Invalid", N2="Invalid"), "Problem", "Clean")</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opLeftCell="A214" workbookViewId="0"/>
  </sheetViews>
  <sheetFormatPr defaultRowHeight="14.4" x14ac:dyDescent="0.55000000000000004"/>
  <cols>
    <col min="1" max="1" width="10" customWidth="1"/>
    <col min="2" max="2" width="13" customWidth="1"/>
    <col min="3" max="4" width="12" customWidth="1"/>
    <col min="5" max="5" width="10" customWidth="1"/>
    <col min="6" max="6" width="12" customWidth="1"/>
    <col min="7" max="7" width="15" customWidth="1"/>
    <col min="8" max="8" width="9" customWidth="1"/>
    <col min="9" max="9" width="12" customWidth="1"/>
  </cols>
  <sheetData>
    <row r="1" spans="1:9" x14ac:dyDescent="0.55000000000000004">
      <c r="A1" s="1" t="s">
        <v>0</v>
      </c>
      <c r="B1" s="1" t="s">
        <v>1</v>
      </c>
      <c r="C1" s="1" t="s">
        <v>2</v>
      </c>
      <c r="D1" s="1" t="s">
        <v>3</v>
      </c>
      <c r="E1" s="1" t="s">
        <v>4</v>
      </c>
      <c r="F1" s="1" t="s">
        <v>5</v>
      </c>
      <c r="G1" s="1" t="s">
        <v>6</v>
      </c>
      <c r="H1" s="1" t="s">
        <v>7</v>
      </c>
      <c r="I1" s="1" t="s">
        <v>8</v>
      </c>
    </row>
    <row r="2" spans="1:9" x14ac:dyDescent="0.55000000000000004">
      <c r="A2">
        <v>1001</v>
      </c>
      <c r="B2" t="s">
        <v>9</v>
      </c>
      <c r="C2" t="s">
        <v>10</v>
      </c>
      <c r="D2" t="s">
        <v>11</v>
      </c>
      <c r="E2">
        <v>3</v>
      </c>
      <c r="F2">
        <v>9325</v>
      </c>
      <c r="G2">
        <v>27975</v>
      </c>
      <c r="H2" t="s">
        <v>12</v>
      </c>
      <c r="I2" t="s">
        <v>13</v>
      </c>
    </row>
    <row r="3" spans="1:9" x14ac:dyDescent="0.55000000000000004">
      <c r="A3">
        <v>1002</v>
      </c>
      <c r="B3" t="s">
        <v>14</v>
      </c>
      <c r="C3" t="s">
        <v>15</v>
      </c>
      <c r="D3" t="s">
        <v>16</v>
      </c>
      <c r="E3">
        <v>4</v>
      </c>
      <c r="F3">
        <v>5029</v>
      </c>
      <c r="G3">
        <v>20116</v>
      </c>
      <c r="H3" t="s">
        <v>17</v>
      </c>
      <c r="I3" t="s">
        <v>18</v>
      </c>
    </row>
    <row r="4" spans="1:9" x14ac:dyDescent="0.55000000000000004">
      <c r="A4">
        <v>1003</v>
      </c>
      <c r="B4" t="s">
        <v>19</v>
      </c>
      <c r="C4" t="s">
        <v>20</v>
      </c>
      <c r="D4" t="s">
        <v>21</v>
      </c>
      <c r="E4">
        <v>3</v>
      </c>
      <c r="F4">
        <v>2919</v>
      </c>
      <c r="G4">
        <v>8757</v>
      </c>
      <c r="H4" t="s">
        <v>22</v>
      </c>
      <c r="I4" t="s">
        <v>18</v>
      </c>
    </row>
    <row r="5" spans="1:9" x14ac:dyDescent="0.55000000000000004">
      <c r="A5">
        <v>1004</v>
      </c>
      <c r="B5" t="s">
        <v>23</v>
      </c>
      <c r="C5" t="s">
        <v>24</v>
      </c>
      <c r="D5" t="s">
        <v>25</v>
      </c>
      <c r="E5">
        <v>3</v>
      </c>
      <c r="F5">
        <v>6250</v>
      </c>
      <c r="G5">
        <v>18750</v>
      </c>
      <c r="H5" t="s">
        <v>26</v>
      </c>
      <c r="I5" t="s">
        <v>18</v>
      </c>
    </row>
    <row r="6" spans="1:9" x14ac:dyDescent="0.55000000000000004">
      <c r="A6">
        <v>1005</v>
      </c>
      <c r="B6" t="s">
        <v>27</v>
      </c>
      <c r="C6" t="s">
        <v>28</v>
      </c>
      <c r="D6" t="s">
        <v>29</v>
      </c>
      <c r="E6">
        <v>3</v>
      </c>
      <c r="F6">
        <v>895</v>
      </c>
      <c r="G6">
        <v>2685</v>
      </c>
      <c r="H6" t="s">
        <v>22</v>
      </c>
      <c r="I6" t="s">
        <v>13</v>
      </c>
    </row>
    <row r="7" spans="1:9" x14ac:dyDescent="0.55000000000000004">
      <c r="A7">
        <v>1006</v>
      </c>
      <c r="B7" t="s">
        <v>30</v>
      </c>
      <c r="C7" t="s">
        <v>31</v>
      </c>
      <c r="D7" t="s">
        <v>32</v>
      </c>
      <c r="E7">
        <v>1</v>
      </c>
      <c r="F7">
        <v>9361</v>
      </c>
      <c r="G7">
        <v>9361</v>
      </c>
      <c r="H7" t="s">
        <v>22</v>
      </c>
      <c r="I7" t="s">
        <v>18</v>
      </c>
    </row>
    <row r="8" spans="1:9" x14ac:dyDescent="0.55000000000000004">
      <c r="A8">
        <v>1007</v>
      </c>
      <c r="B8" t="s">
        <v>33</v>
      </c>
      <c r="C8" t="s">
        <v>34</v>
      </c>
      <c r="D8" t="s">
        <v>35</v>
      </c>
      <c r="E8">
        <v>1</v>
      </c>
      <c r="F8">
        <v>2619</v>
      </c>
      <c r="G8">
        <v>2619</v>
      </c>
      <c r="H8" t="s">
        <v>12</v>
      </c>
      <c r="I8" t="s">
        <v>13</v>
      </c>
    </row>
    <row r="9" spans="1:9" x14ac:dyDescent="0.55000000000000004">
      <c r="A9">
        <v>1008</v>
      </c>
      <c r="B9" t="s">
        <v>36</v>
      </c>
      <c r="C9" t="s">
        <v>37</v>
      </c>
      <c r="D9" t="s">
        <v>29</v>
      </c>
      <c r="E9">
        <v>4</v>
      </c>
      <c r="F9">
        <v>1067</v>
      </c>
      <c r="G9">
        <v>4268</v>
      </c>
      <c r="H9" t="s">
        <v>22</v>
      </c>
      <c r="I9" t="s">
        <v>18</v>
      </c>
    </row>
    <row r="10" spans="1:9" x14ac:dyDescent="0.55000000000000004">
      <c r="A10">
        <v>1009</v>
      </c>
      <c r="B10" t="s">
        <v>38</v>
      </c>
      <c r="C10" t="s">
        <v>34</v>
      </c>
      <c r="D10" t="s">
        <v>39</v>
      </c>
      <c r="E10">
        <v>3</v>
      </c>
      <c r="F10">
        <v>8351</v>
      </c>
      <c r="G10">
        <v>25053</v>
      </c>
      <c r="H10" t="s">
        <v>12</v>
      </c>
      <c r="I10" t="s">
        <v>18</v>
      </c>
    </row>
    <row r="11" spans="1:9" x14ac:dyDescent="0.55000000000000004">
      <c r="A11">
        <v>1010</v>
      </c>
      <c r="B11" t="s">
        <v>40</v>
      </c>
      <c r="C11" t="s">
        <v>41</v>
      </c>
      <c r="D11" t="s">
        <v>16</v>
      </c>
      <c r="E11">
        <v>5</v>
      </c>
      <c r="F11">
        <v>1265</v>
      </c>
      <c r="G11">
        <v>6325</v>
      </c>
      <c r="H11" t="s">
        <v>17</v>
      </c>
      <c r="I11" t="s">
        <v>13</v>
      </c>
    </row>
    <row r="12" spans="1:9" x14ac:dyDescent="0.55000000000000004">
      <c r="A12">
        <v>1006</v>
      </c>
      <c r="B12" t="s">
        <v>42</v>
      </c>
      <c r="C12" t="s">
        <v>43</v>
      </c>
      <c r="D12" t="s">
        <v>44</v>
      </c>
      <c r="E12">
        <v>5</v>
      </c>
      <c r="F12">
        <v>3635</v>
      </c>
      <c r="G12">
        <v>18175</v>
      </c>
      <c r="H12" t="s">
        <v>17</v>
      </c>
      <c r="I12" t="s">
        <v>18</v>
      </c>
    </row>
    <row r="13" spans="1:9" x14ac:dyDescent="0.55000000000000004">
      <c r="A13">
        <v>1012</v>
      </c>
      <c r="B13" t="s">
        <v>45</v>
      </c>
      <c r="C13" t="s">
        <v>46</v>
      </c>
      <c r="D13" t="s">
        <v>35</v>
      </c>
      <c r="E13">
        <v>4</v>
      </c>
      <c r="F13">
        <v>9598</v>
      </c>
      <c r="G13">
        <v>38392</v>
      </c>
      <c r="H13" t="s">
        <v>12</v>
      </c>
      <c r="I13" t="s">
        <v>18</v>
      </c>
    </row>
    <row r="14" spans="1:9" x14ac:dyDescent="0.55000000000000004">
      <c r="A14">
        <v>1013</v>
      </c>
      <c r="B14" t="s">
        <v>47</v>
      </c>
      <c r="C14" t="s">
        <v>48</v>
      </c>
      <c r="D14" t="s">
        <v>29</v>
      </c>
      <c r="E14">
        <v>2</v>
      </c>
      <c r="F14">
        <v>849</v>
      </c>
      <c r="G14">
        <v>1698</v>
      </c>
      <c r="H14" t="s">
        <v>22</v>
      </c>
      <c r="I14" t="s">
        <v>18</v>
      </c>
    </row>
    <row r="15" spans="1:9" x14ac:dyDescent="0.55000000000000004">
      <c r="A15">
        <v>1014</v>
      </c>
      <c r="B15" t="s">
        <v>49</v>
      </c>
      <c r="C15" t="s">
        <v>50</v>
      </c>
      <c r="D15" t="s">
        <v>51</v>
      </c>
      <c r="E15">
        <v>1</v>
      </c>
      <c r="F15">
        <v>9757</v>
      </c>
      <c r="G15">
        <v>9757</v>
      </c>
      <c r="H15" t="s">
        <v>12</v>
      </c>
      <c r="I15" t="s">
        <v>18</v>
      </c>
    </row>
    <row r="16" spans="1:9" x14ac:dyDescent="0.55000000000000004">
      <c r="A16">
        <v>1015</v>
      </c>
      <c r="B16" t="s">
        <v>52</v>
      </c>
      <c r="C16" t="s">
        <v>48</v>
      </c>
      <c r="D16" t="s">
        <v>16</v>
      </c>
      <c r="E16">
        <v>1</v>
      </c>
      <c r="F16">
        <v>5954</v>
      </c>
      <c r="G16">
        <v>5954</v>
      </c>
      <c r="H16" t="s">
        <v>22</v>
      </c>
      <c r="I16" t="s">
        <v>18</v>
      </c>
    </row>
    <row r="17" spans="1:9" x14ac:dyDescent="0.55000000000000004">
      <c r="A17">
        <v>1016</v>
      </c>
      <c r="B17" t="s">
        <v>53</v>
      </c>
      <c r="C17" t="s">
        <v>54</v>
      </c>
      <c r="D17" t="s">
        <v>16</v>
      </c>
      <c r="E17">
        <v>3</v>
      </c>
      <c r="F17">
        <v>7346</v>
      </c>
      <c r="G17">
        <v>22038</v>
      </c>
      <c r="H17" t="s">
        <v>22</v>
      </c>
      <c r="I17" t="s">
        <v>55</v>
      </c>
    </row>
    <row r="18" spans="1:9" x14ac:dyDescent="0.55000000000000004">
      <c r="A18">
        <v>1017</v>
      </c>
      <c r="B18" t="s">
        <v>56</v>
      </c>
      <c r="C18" t="s">
        <v>48</v>
      </c>
      <c r="D18" t="s">
        <v>44</v>
      </c>
      <c r="E18">
        <v>5</v>
      </c>
      <c r="F18">
        <v>9189</v>
      </c>
      <c r="G18">
        <v>45945</v>
      </c>
      <c r="H18" t="s">
        <v>12</v>
      </c>
      <c r="I18" t="s">
        <v>18</v>
      </c>
    </row>
    <row r="19" spans="1:9" x14ac:dyDescent="0.55000000000000004">
      <c r="A19">
        <v>1018</v>
      </c>
      <c r="B19" t="s">
        <v>57</v>
      </c>
      <c r="C19" t="s">
        <v>58</v>
      </c>
      <c r="D19" t="s">
        <v>59</v>
      </c>
      <c r="E19">
        <v>5</v>
      </c>
      <c r="F19">
        <v>9794</v>
      </c>
      <c r="G19">
        <v>48970</v>
      </c>
      <c r="H19" t="s">
        <v>17</v>
      </c>
      <c r="I19" t="s">
        <v>18</v>
      </c>
    </row>
    <row r="20" spans="1:9" x14ac:dyDescent="0.55000000000000004">
      <c r="A20">
        <v>1019</v>
      </c>
      <c r="B20" t="s">
        <v>60</v>
      </c>
      <c r="C20" t="s">
        <v>61</v>
      </c>
      <c r="D20" t="s">
        <v>25</v>
      </c>
      <c r="E20">
        <v>1</v>
      </c>
      <c r="F20">
        <v>9850</v>
      </c>
      <c r="G20">
        <v>9850</v>
      </c>
      <c r="H20" t="s">
        <v>17</v>
      </c>
      <c r="I20" t="s">
        <v>13</v>
      </c>
    </row>
    <row r="21" spans="1:9" x14ac:dyDescent="0.55000000000000004">
      <c r="A21">
        <v>1020</v>
      </c>
      <c r="B21" t="s">
        <v>62</v>
      </c>
      <c r="C21" t="s">
        <v>63</v>
      </c>
      <c r="D21" t="s">
        <v>11</v>
      </c>
      <c r="E21">
        <v>3</v>
      </c>
      <c r="F21">
        <v>8993</v>
      </c>
      <c r="G21">
        <v>26979</v>
      </c>
      <c r="H21" t="s">
        <v>26</v>
      </c>
      <c r="I21" t="s">
        <v>13</v>
      </c>
    </row>
    <row r="22" spans="1:9" x14ac:dyDescent="0.55000000000000004">
      <c r="A22">
        <v>1016</v>
      </c>
      <c r="B22" t="s">
        <v>64</v>
      </c>
      <c r="C22" t="s">
        <v>34</v>
      </c>
      <c r="D22" t="s">
        <v>35</v>
      </c>
      <c r="E22">
        <v>3</v>
      </c>
      <c r="F22">
        <v>755</v>
      </c>
      <c r="G22">
        <v>2265</v>
      </c>
      <c r="H22" t="s">
        <v>22</v>
      </c>
      <c r="I22" t="s">
        <v>55</v>
      </c>
    </row>
    <row r="23" spans="1:9" x14ac:dyDescent="0.55000000000000004">
      <c r="A23">
        <v>1022</v>
      </c>
      <c r="B23" t="s">
        <v>65</v>
      </c>
      <c r="C23" t="s">
        <v>66</v>
      </c>
      <c r="D23" t="s">
        <v>25</v>
      </c>
      <c r="E23">
        <v>2</v>
      </c>
      <c r="F23">
        <v>2159</v>
      </c>
      <c r="G23">
        <v>4318</v>
      </c>
      <c r="H23" t="s">
        <v>12</v>
      </c>
      <c r="I23" t="s">
        <v>13</v>
      </c>
    </row>
    <row r="24" spans="1:9" x14ac:dyDescent="0.55000000000000004">
      <c r="A24">
        <v>1023</v>
      </c>
      <c r="B24" t="s">
        <v>67</v>
      </c>
      <c r="C24" t="s">
        <v>68</v>
      </c>
      <c r="D24" t="s">
        <v>59</v>
      </c>
      <c r="E24">
        <v>2</v>
      </c>
      <c r="F24">
        <v>2558</v>
      </c>
      <c r="G24">
        <v>5116</v>
      </c>
      <c r="H24" t="s">
        <v>12</v>
      </c>
      <c r="I24" t="s">
        <v>18</v>
      </c>
    </row>
    <row r="25" spans="1:9" x14ac:dyDescent="0.55000000000000004">
      <c r="A25">
        <v>1024</v>
      </c>
      <c r="B25" t="s">
        <v>69</v>
      </c>
      <c r="C25" t="s">
        <v>58</v>
      </c>
      <c r="D25" t="s">
        <v>44</v>
      </c>
      <c r="E25">
        <v>2</v>
      </c>
      <c r="F25">
        <v>4541</v>
      </c>
      <c r="G25">
        <v>9082</v>
      </c>
      <c r="H25" t="s">
        <v>17</v>
      </c>
      <c r="I25" t="s">
        <v>55</v>
      </c>
    </row>
    <row r="26" spans="1:9" x14ac:dyDescent="0.55000000000000004">
      <c r="A26">
        <v>1025</v>
      </c>
      <c r="B26" t="s">
        <v>70</v>
      </c>
      <c r="C26" t="s">
        <v>71</v>
      </c>
      <c r="D26" t="s">
        <v>51</v>
      </c>
      <c r="E26">
        <v>1</v>
      </c>
      <c r="F26">
        <v>4053</v>
      </c>
      <c r="G26">
        <v>4053</v>
      </c>
      <c r="H26" t="s">
        <v>17</v>
      </c>
      <c r="I26" t="s">
        <v>18</v>
      </c>
    </row>
    <row r="27" spans="1:9" x14ac:dyDescent="0.55000000000000004">
      <c r="A27">
        <v>1026</v>
      </c>
      <c r="B27" t="s">
        <v>72</v>
      </c>
      <c r="C27" t="s">
        <v>73</v>
      </c>
      <c r="D27" t="s">
        <v>32</v>
      </c>
      <c r="E27">
        <v>1</v>
      </c>
      <c r="F27">
        <v>2421</v>
      </c>
      <c r="G27">
        <v>2421</v>
      </c>
      <c r="H27" t="s">
        <v>26</v>
      </c>
      <c r="I27" t="s">
        <v>18</v>
      </c>
    </row>
    <row r="28" spans="1:9" x14ac:dyDescent="0.55000000000000004">
      <c r="A28">
        <v>1027</v>
      </c>
      <c r="B28" t="s">
        <v>74</v>
      </c>
      <c r="C28" t="s">
        <v>75</v>
      </c>
      <c r="D28" t="s">
        <v>11</v>
      </c>
      <c r="E28">
        <v>2</v>
      </c>
      <c r="F28">
        <v>4027</v>
      </c>
      <c r="G28">
        <v>8054</v>
      </c>
      <c r="H28" t="s">
        <v>12</v>
      </c>
      <c r="I28" t="s">
        <v>18</v>
      </c>
    </row>
    <row r="29" spans="1:9" x14ac:dyDescent="0.55000000000000004">
      <c r="A29">
        <v>1028</v>
      </c>
      <c r="B29" t="s">
        <v>76</v>
      </c>
      <c r="C29" t="s">
        <v>77</v>
      </c>
      <c r="D29" t="s">
        <v>51</v>
      </c>
      <c r="E29">
        <v>5</v>
      </c>
      <c r="F29">
        <v>3372</v>
      </c>
      <c r="G29">
        <v>16860</v>
      </c>
      <c r="H29" t="s">
        <v>17</v>
      </c>
      <c r="I29" t="s">
        <v>13</v>
      </c>
    </row>
    <row r="30" spans="1:9" x14ac:dyDescent="0.55000000000000004">
      <c r="A30">
        <v>1029</v>
      </c>
      <c r="B30" t="s">
        <v>78</v>
      </c>
      <c r="C30" t="s">
        <v>79</v>
      </c>
      <c r="D30" t="s">
        <v>21</v>
      </c>
      <c r="E30">
        <v>5</v>
      </c>
      <c r="F30">
        <v>625</v>
      </c>
      <c r="G30">
        <v>3125</v>
      </c>
      <c r="H30" t="s">
        <v>26</v>
      </c>
      <c r="I30" t="s">
        <v>18</v>
      </c>
    </row>
    <row r="31" spans="1:9" x14ac:dyDescent="0.55000000000000004">
      <c r="A31">
        <v>1030</v>
      </c>
      <c r="B31" t="s">
        <v>80</v>
      </c>
      <c r="C31" t="s">
        <v>43</v>
      </c>
      <c r="D31" t="s">
        <v>81</v>
      </c>
      <c r="E31">
        <v>3</v>
      </c>
      <c r="F31">
        <v>9568</v>
      </c>
      <c r="G31">
        <v>28704</v>
      </c>
      <c r="H31" t="s">
        <v>12</v>
      </c>
      <c r="I31" t="s">
        <v>13</v>
      </c>
    </row>
    <row r="32" spans="1:9" x14ac:dyDescent="0.55000000000000004">
      <c r="A32">
        <v>1031</v>
      </c>
      <c r="B32" t="s">
        <v>82</v>
      </c>
      <c r="C32" t="s">
        <v>83</v>
      </c>
      <c r="D32" t="s">
        <v>32</v>
      </c>
      <c r="E32">
        <v>5</v>
      </c>
      <c r="F32">
        <v>1724</v>
      </c>
      <c r="G32">
        <v>9120</v>
      </c>
      <c r="H32" t="s">
        <v>22</v>
      </c>
      <c r="I32" t="s">
        <v>13</v>
      </c>
    </row>
    <row r="33" spans="1:9" x14ac:dyDescent="0.55000000000000004">
      <c r="A33">
        <v>1032</v>
      </c>
      <c r="B33" t="s">
        <v>84</v>
      </c>
      <c r="C33" t="s">
        <v>85</v>
      </c>
      <c r="D33" t="s">
        <v>35</v>
      </c>
      <c r="E33">
        <v>1</v>
      </c>
      <c r="F33">
        <v>3380</v>
      </c>
      <c r="G33">
        <v>3380</v>
      </c>
      <c r="H33" t="s">
        <v>17</v>
      </c>
      <c r="I33" t="s">
        <v>18</v>
      </c>
    </row>
    <row r="34" spans="1:9" x14ac:dyDescent="0.55000000000000004">
      <c r="A34">
        <v>1033</v>
      </c>
      <c r="B34" t="s">
        <v>86</v>
      </c>
      <c r="C34" t="s">
        <v>87</v>
      </c>
      <c r="D34" t="s">
        <v>39</v>
      </c>
      <c r="E34">
        <v>5</v>
      </c>
      <c r="F34">
        <v>2772</v>
      </c>
      <c r="G34">
        <v>13860</v>
      </c>
      <c r="H34" t="s">
        <v>26</v>
      </c>
      <c r="I34" t="s">
        <v>55</v>
      </c>
    </row>
    <row r="35" spans="1:9" x14ac:dyDescent="0.55000000000000004">
      <c r="A35">
        <v>1034</v>
      </c>
      <c r="B35" t="s">
        <v>88</v>
      </c>
      <c r="C35" t="s">
        <v>89</v>
      </c>
      <c r="D35" t="s">
        <v>35</v>
      </c>
      <c r="E35">
        <v>2</v>
      </c>
      <c r="F35">
        <v>2474</v>
      </c>
      <c r="G35">
        <v>4948</v>
      </c>
      <c r="H35" t="s">
        <v>17</v>
      </c>
      <c r="I35" t="s">
        <v>55</v>
      </c>
    </row>
    <row r="36" spans="1:9" x14ac:dyDescent="0.55000000000000004">
      <c r="A36">
        <v>1035</v>
      </c>
      <c r="B36" t="s">
        <v>90</v>
      </c>
      <c r="C36" t="s">
        <v>91</v>
      </c>
      <c r="D36" t="s">
        <v>81</v>
      </c>
      <c r="E36">
        <v>3</v>
      </c>
      <c r="F36">
        <v>845</v>
      </c>
      <c r="G36">
        <v>2535</v>
      </c>
      <c r="H36" t="s">
        <v>26</v>
      </c>
      <c r="I36" t="s">
        <v>13</v>
      </c>
    </row>
    <row r="37" spans="1:9" x14ac:dyDescent="0.55000000000000004">
      <c r="A37">
        <v>1036</v>
      </c>
      <c r="B37" t="s">
        <v>92</v>
      </c>
      <c r="C37" t="s">
        <v>37</v>
      </c>
      <c r="D37" t="s">
        <v>39</v>
      </c>
      <c r="E37">
        <v>2</v>
      </c>
      <c r="F37">
        <v>5614</v>
      </c>
      <c r="G37">
        <v>11228</v>
      </c>
      <c r="H37" t="s">
        <v>26</v>
      </c>
      <c r="I37" t="s">
        <v>55</v>
      </c>
    </row>
    <row r="38" spans="1:9" x14ac:dyDescent="0.55000000000000004">
      <c r="A38">
        <v>1037</v>
      </c>
      <c r="B38" t="s">
        <v>93</v>
      </c>
      <c r="C38" t="s">
        <v>50</v>
      </c>
      <c r="D38" t="s">
        <v>25</v>
      </c>
      <c r="E38">
        <v>4</v>
      </c>
      <c r="F38">
        <v>3596</v>
      </c>
      <c r="G38">
        <v>14384</v>
      </c>
      <c r="H38" t="s">
        <v>17</v>
      </c>
      <c r="I38" t="s">
        <v>13</v>
      </c>
    </row>
    <row r="39" spans="1:9" x14ac:dyDescent="0.55000000000000004">
      <c r="A39">
        <v>1038</v>
      </c>
      <c r="B39" t="s">
        <v>94</v>
      </c>
      <c r="C39" t="s">
        <v>95</v>
      </c>
      <c r="D39" t="s">
        <v>11</v>
      </c>
      <c r="E39">
        <v>1</v>
      </c>
      <c r="F39">
        <v>980</v>
      </c>
      <c r="G39">
        <v>980</v>
      </c>
      <c r="H39" t="s">
        <v>22</v>
      </c>
      <c r="I39" t="s">
        <v>13</v>
      </c>
    </row>
    <row r="40" spans="1:9" x14ac:dyDescent="0.55000000000000004">
      <c r="A40">
        <v>1039</v>
      </c>
      <c r="B40" t="s">
        <v>96</v>
      </c>
      <c r="C40" t="s">
        <v>97</v>
      </c>
      <c r="D40" t="s">
        <v>16</v>
      </c>
      <c r="E40">
        <v>2</v>
      </c>
      <c r="F40">
        <v>4829</v>
      </c>
      <c r="G40">
        <v>9658</v>
      </c>
      <c r="H40" t="s">
        <v>17</v>
      </c>
      <c r="I40" t="s">
        <v>55</v>
      </c>
    </row>
    <row r="41" spans="1:9" x14ac:dyDescent="0.55000000000000004">
      <c r="A41">
        <v>1040</v>
      </c>
      <c r="B41" t="s">
        <v>98</v>
      </c>
      <c r="C41" t="s">
        <v>99</v>
      </c>
      <c r="D41" t="s">
        <v>21</v>
      </c>
      <c r="E41">
        <v>4</v>
      </c>
      <c r="F41">
        <v>4445</v>
      </c>
      <c r="G41">
        <v>17780</v>
      </c>
      <c r="H41" t="s">
        <v>26</v>
      </c>
      <c r="I41" t="s">
        <v>55</v>
      </c>
    </row>
    <row r="42" spans="1:9" x14ac:dyDescent="0.55000000000000004">
      <c r="A42">
        <v>1041</v>
      </c>
      <c r="B42" t="s">
        <v>100</v>
      </c>
      <c r="C42" t="s">
        <v>101</v>
      </c>
      <c r="D42" t="s">
        <v>44</v>
      </c>
      <c r="E42">
        <v>4</v>
      </c>
      <c r="F42">
        <v>1239</v>
      </c>
      <c r="G42">
        <v>4756</v>
      </c>
      <c r="H42" t="s">
        <v>26</v>
      </c>
      <c r="I42" t="s">
        <v>55</v>
      </c>
    </row>
    <row r="43" spans="1:9" x14ac:dyDescent="0.55000000000000004">
      <c r="A43">
        <v>1042</v>
      </c>
      <c r="B43" t="s">
        <v>102</v>
      </c>
      <c r="C43" t="s">
        <v>71</v>
      </c>
      <c r="D43" t="s">
        <v>59</v>
      </c>
      <c r="E43">
        <v>5</v>
      </c>
      <c r="F43">
        <v>2257</v>
      </c>
      <c r="G43">
        <v>11285</v>
      </c>
      <c r="H43" t="s">
        <v>12</v>
      </c>
      <c r="I43" t="s">
        <v>13</v>
      </c>
    </row>
    <row r="44" spans="1:9" x14ac:dyDescent="0.55000000000000004">
      <c r="A44">
        <v>1043</v>
      </c>
      <c r="B44" t="s">
        <v>103</v>
      </c>
      <c r="C44" t="s">
        <v>104</v>
      </c>
      <c r="D44" t="s">
        <v>81</v>
      </c>
      <c r="E44">
        <v>5</v>
      </c>
      <c r="F44">
        <v>7420</v>
      </c>
      <c r="G44">
        <v>37100</v>
      </c>
      <c r="H44" t="s">
        <v>12</v>
      </c>
      <c r="I44" t="s">
        <v>18</v>
      </c>
    </row>
    <row r="45" spans="1:9" x14ac:dyDescent="0.55000000000000004">
      <c r="A45">
        <v>1044</v>
      </c>
      <c r="B45" t="s">
        <v>105</v>
      </c>
      <c r="C45" t="s">
        <v>41</v>
      </c>
      <c r="D45" t="s">
        <v>35</v>
      </c>
      <c r="E45">
        <v>1</v>
      </c>
      <c r="F45">
        <v>4039</v>
      </c>
      <c r="G45">
        <v>4039</v>
      </c>
      <c r="H45" t="s">
        <v>12</v>
      </c>
      <c r="I45" t="s">
        <v>18</v>
      </c>
    </row>
    <row r="46" spans="1:9" x14ac:dyDescent="0.55000000000000004">
      <c r="A46">
        <v>1045</v>
      </c>
      <c r="B46" t="s">
        <v>106</v>
      </c>
      <c r="C46" t="s">
        <v>85</v>
      </c>
      <c r="D46" t="s">
        <v>81</v>
      </c>
      <c r="E46">
        <v>3</v>
      </c>
      <c r="F46">
        <v>3332</v>
      </c>
      <c r="G46">
        <v>9996</v>
      </c>
      <c r="H46" t="s">
        <v>12</v>
      </c>
      <c r="I46" t="s">
        <v>13</v>
      </c>
    </row>
    <row r="47" spans="1:9" x14ac:dyDescent="0.55000000000000004">
      <c r="A47">
        <v>1046</v>
      </c>
      <c r="B47" t="s">
        <v>107</v>
      </c>
      <c r="C47" t="s">
        <v>83</v>
      </c>
      <c r="D47" t="s">
        <v>11</v>
      </c>
      <c r="E47">
        <v>1</v>
      </c>
      <c r="F47">
        <v>2373</v>
      </c>
      <c r="G47">
        <v>2373</v>
      </c>
      <c r="H47" t="s">
        <v>17</v>
      </c>
      <c r="I47" t="s">
        <v>55</v>
      </c>
    </row>
    <row r="48" spans="1:9" x14ac:dyDescent="0.55000000000000004">
      <c r="A48">
        <v>1047</v>
      </c>
      <c r="B48" t="s">
        <v>108</v>
      </c>
      <c r="C48" t="s">
        <v>75</v>
      </c>
      <c r="D48" t="s">
        <v>109</v>
      </c>
      <c r="E48">
        <v>5</v>
      </c>
      <c r="F48">
        <v>3653</v>
      </c>
      <c r="G48">
        <v>18265</v>
      </c>
      <c r="H48" t="s">
        <v>12</v>
      </c>
      <c r="I48" t="s">
        <v>18</v>
      </c>
    </row>
    <row r="49" spans="1:9" x14ac:dyDescent="0.55000000000000004">
      <c r="A49">
        <v>1048</v>
      </c>
      <c r="B49" t="s">
        <v>110</v>
      </c>
      <c r="C49" t="s">
        <v>111</v>
      </c>
      <c r="D49" t="s">
        <v>32</v>
      </c>
      <c r="E49">
        <v>3</v>
      </c>
      <c r="F49">
        <v>1036</v>
      </c>
      <c r="G49">
        <v>3108</v>
      </c>
      <c r="H49" t="s">
        <v>22</v>
      </c>
      <c r="I49" t="s">
        <v>18</v>
      </c>
    </row>
    <row r="50" spans="1:9" x14ac:dyDescent="0.55000000000000004">
      <c r="A50">
        <v>1049</v>
      </c>
      <c r="B50" t="s">
        <v>112</v>
      </c>
      <c r="C50" t="s">
        <v>77</v>
      </c>
      <c r="D50" t="s">
        <v>16</v>
      </c>
      <c r="E50">
        <v>4</v>
      </c>
      <c r="F50">
        <v>981</v>
      </c>
      <c r="G50">
        <v>3924</v>
      </c>
      <c r="H50" t="s">
        <v>26</v>
      </c>
      <c r="I50" t="s">
        <v>18</v>
      </c>
    </row>
    <row r="51" spans="1:9" x14ac:dyDescent="0.55000000000000004">
      <c r="A51">
        <v>1050</v>
      </c>
      <c r="B51" t="s">
        <v>113</v>
      </c>
      <c r="C51" t="s">
        <v>114</v>
      </c>
      <c r="D51" t="s">
        <v>44</v>
      </c>
      <c r="E51">
        <v>5</v>
      </c>
      <c r="F51">
        <v>4877</v>
      </c>
      <c r="G51">
        <v>24385</v>
      </c>
      <c r="H51" t="s">
        <v>12</v>
      </c>
      <c r="I51" t="s">
        <v>55</v>
      </c>
    </row>
    <row r="52" spans="1:9" x14ac:dyDescent="0.55000000000000004">
      <c r="A52">
        <v>1051</v>
      </c>
      <c r="B52" t="s">
        <v>115</v>
      </c>
      <c r="C52" t="s">
        <v>116</v>
      </c>
      <c r="D52" t="s">
        <v>109</v>
      </c>
      <c r="E52">
        <v>-2</v>
      </c>
      <c r="F52">
        <v>644</v>
      </c>
      <c r="G52">
        <v>3220</v>
      </c>
      <c r="H52" t="s">
        <v>17</v>
      </c>
      <c r="I52" t="s">
        <v>55</v>
      </c>
    </row>
    <row r="53" spans="1:9" x14ac:dyDescent="0.55000000000000004">
      <c r="A53">
        <v>1052</v>
      </c>
      <c r="B53" t="s">
        <v>117</v>
      </c>
      <c r="C53" t="s">
        <v>118</v>
      </c>
      <c r="D53" t="s">
        <v>29</v>
      </c>
      <c r="E53">
        <v>5</v>
      </c>
      <c r="F53">
        <v>9224</v>
      </c>
      <c r="G53">
        <v>46120</v>
      </c>
      <c r="H53" t="s">
        <v>26</v>
      </c>
      <c r="I53" t="s">
        <v>13</v>
      </c>
    </row>
    <row r="54" spans="1:9" x14ac:dyDescent="0.55000000000000004">
      <c r="A54">
        <v>1053</v>
      </c>
      <c r="B54" t="s">
        <v>119</v>
      </c>
      <c r="C54" t="s">
        <v>120</v>
      </c>
      <c r="D54" t="s">
        <v>16</v>
      </c>
      <c r="E54">
        <v>2</v>
      </c>
      <c r="F54">
        <v>2293</v>
      </c>
      <c r="G54">
        <v>4586</v>
      </c>
      <c r="H54" t="s">
        <v>12</v>
      </c>
      <c r="I54" t="s">
        <v>18</v>
      </c>
    </row>
    <row r="55" spans="1:9" x14ac:dyDescent="0.55000000000000004">
      <c r="A55">
        <v>1054</v>
      </c>
      <c r="B55" t="s">
        <v>121</v>
      </c>
      <c r="C55" t="s">
        <v>50</v>
      </c>
      <c r="D55" t="s">
        <v>44</v>
      </c>
      <c r="E55">
        <v>4</v>
      </c>
      <c r="F55">
        <v>2468</v>
      </c>
      <c r="G55">
        <v>9872</v>
      </c>
      <c r="H55" t="s">
        <v>26</v>
      </c>
      <c r="I55" t="s">
        <v>55</v>
      </c>
    </row>
    <row r="56" spans="1:9" x14ac:dyDescent="0.55000000000000004">
      <c r="A56">
        <v>1055</v>
      </c>
      <c r="B56" t="s">
        <v>122</v>
      </c>
      <c r="C56" t="s">
        <v>116</v>
      </c>
      <c r="D56" t="s">
        <v>81</v>
      </c>
      <c r="E56">
        <v>4</v>
      </c>
      <c r="F56">
        <v>1691</v>
      </c>
      <c r="G56">
        <v>6764</v>
      </c>
      <c r="H56" t="s">
        <v>17</v>
      </c>
      <c r="I56" t="s">
        <v>18</v>
      </c>
    </row>
    <row r="57" spans="1:9" x14ac:dyDescent="0.55000000000000004">
      <c r="A57">
        <v>1056</v>
      </c>
      <c r="B57" t="s">
        <v>123</v>
      </c>
      <c r="C57" t="s">
        <v>71</v>
      </c>
      <c r="D57" t="s">
        <v>109</v>
      </c>
      <c r="E57">
        <v>4</v>
      </c>
      <c r="F57">
        <v>7502</v>
      </c>
      <c r="G57">
        <v>30008</v>
      </c>
      <c r="H57" t="s">
        <v>12</v>
      </c>
      <c r="I57" t="s">
        <v>18</v>
      </c>
    </row>
    <row r="58" spans="1:9" x14ac:dyDescent="0.55000000000000004">
      <c r="A58">
        <v>1057</v>
      </c>
      <c r="B58" t="s">
        <v>124</v>
      </c>
      <c r="C58" t="s">
        <v>125</v>
      </c>
      <c r="D58" t="s">
        <v>16</v>
      </c>
      <c r="E58">
        <v>1</v>
      </c>
      <c r="F58">
        <v>791</v>
      </c>
      <c r="G58">
        <v>791</v>
      </c>
      <c r="H58" t="s">
        <v>22</v>
      </c>
      <c r="I58" t="s">
        <v>55</v>
      </c>
    </row>
    <row r="59" spans="1:9" x14ac:dyDescent="0.55000000000000004">
      <c r="A59">
        <v>1058</v>
      </c>
      <c r="B59" t="s">
        <v>126</v>
      </c>
      <c r="C59" t="s">
        <v>89</v>
      </c>
      <c r="D59" t="s">
        <v>21</v>
      </c>
      <c r="E59">
        <v>2</v>
      </c>
      <c r="F59">
        <v>6477</v>
      </c>
      <c r="G59">
        <v>12954</v>
      </c>
      <c r="H59" t="s">
        <v>22</v>
      </c>
      <c r="I59" t="s">
        <v>55</v>
      </c>
    </row>
    <row r="60" spans="1:9" x14ac:dyDescent="0.55000000000000004">
      <c r="A60">
        <v>1059</v>
      </c>
      <c r="B60" t="s">
        <v>127</v>
      </c>
      <c r="C60" t="s">
        <v>63</v>
      </c>
      <c r="D60" t="s">
        <v>59</v>
      </c>
      <c r="E60">
        <v>1</v>
      </c>
      <c r="F60">
        <v>4996</v>
      </c>
      <c r="G60">
        <v>4996</v>
      </c>
      <c r="H60" t="s">
        <v>12</v>
      </c>
      <c r="I60" t="s">
        <v>18</v>
      </c>
    </row>
    <row r="61" spans="1:9" x14ac:dyDescent="0.55000000000000004">
      <c r="A61">
        <v>1060</v>
      </c>
      <c r="B61" t="s">
        <v>128</v>
      </c>
      <c r="C61" t="s">
        <v>129</v>
      </c>
      <c r="D61" t="s">
        <v>21</v>
      </c>
      <c r="E61">
        <v>5</v>
      </c>
      <c r="F61">
        <v>4338</v>
      </c>
      <c r="G61">
        <v>21690</v>
      </c>
      <c r="H61" t="s">
        <v>22</v>
      </c>
      <c r="I61" t="s">
        <v>55</v>
      </c>
    </row>
    <row r="62" spans="1:9" x14ac:dyDescent="0.55000000000000004">
      <c r="A62">
        <v>1061</v>
      </c>
      <c r="B62" t="s">
        <v>130</v>
      </c>
      <c r="C62" t="s">
        <v>68</v>
      </c>
      <c r="D62" t="s">
        <v>81</v>
      </c>
      <c r="E62">
        <v>-1</v>
      </c>
      <c r="F62">
        <v>3899</v>
      </c>
      <c r="G62">
        <v>11697</v>
      </c>
      <c r="H62" t="s">
        <v>12</v>
      </c>
      <c r="I62" t="s">
        <v>18</v>
      </c>
    </row>
    <row r="63" spans="1:9" x14ac:dyDescent="0.55000000000000004">
      <c r="A63">
        <v>1062</v>
      </c>
      <c r="B63" t="s">
        <v>131</v>
      </c>
      <c r="C63" t="s">
        <v>118</v>
      </c>
      <c r="D63" t="s">
        <v>44</v>
      </c>
      <c r="E63">
        <v>1</v>
      </c>
      <c r="F63">
        <v>4155</v>
      </c>
      <c r="G63">
        <v>4155</v>
      </c>
      <c r="H63" t="s">
        <v>26</v>
      </c>
      <c r="I63" t="s">
        <v>18</v>
      </c>
    </row>
    <row r="64" spans="1:9" x14ac:dyDescent="0.55000000000000004">
      <c r="A64">
        <v>1063</v>
      </c>
      <c r="B64" t="s">
        <v>132</v>
      </c>
      <c r="C64" t="s">
        <v>133</v>
      </c>
      <c r="D64" t="s">
        <v>59</v>
      </c>
      <c r="E64">
        <v>5</v>
      </c>
      <c r="F64">
        <v>8852</v>
      </c>
      <c r="G64">
        <v>44260</v>
      </c>
      <c r="H64" t="s">
        <v>26</v>
      </c>
      <c r="I64" t="s">
        <v>13</v>
      </c>
    </row>
    <row r="65" spans="1:9" x14ac:dyDescent="0.55000000000000004">
      <c r="A65">
        <v>1064</v>
      </c>
      <c r="B65" t="s">
        <v>134</v>
      </c>
      <c r="C65" t="s">
        <v>50</v>
      </c>
      <c r="D65" t="s">
        <v>11</v>
      </c>
      <c r="E65">
        <v>4</v>
      </c>
      <c r="F65">
        <v>5768</v>
      </c>
      <c r="G65">
        <v>23072</v>
      </c>
      <c r="H65" t="s">
        <v>12</v>
      </c>
      <c r="I65" t="s">
        <v>13</v>
      </c>
    </row>
    <row r="66" spans="1:9" x14ac:dyDescent="0.55000000000000004">
      <c r="A66">
        <v>1065</v>
      </c>
      <c r="B66" t="s">
        <v>135</v>
      </c>
      <c r="C66" t="s">
        <v>136</v>
      </c>
      <c r="D66" t="s">
        <v>25</v>
      </c>
      <c r="E66">
        <v>5</v>
      </c>
      <c r="F66">
        <v>6775</v>
      </c>
      <c r="G66">
        <v>33875</v>
      </c>
      <c r="H66" t="s">
        <v>26</v>
      </c>
      <c r="I66" t="s">
        <v>55</v>
      </c>
    </row>
    <row r="67" spans="1:9" x14ac:dyDescent="0.55000000000000004">
      <c r="A67">
        <v>1066</v>
      </c>
      <c r="B67" t="s">
        <v>137</v>
      </c>
      <c r="C67" t="s">
        <v>138</v>
      </c>
      <c r="D67" t="s">
        <v>39</v>
      </c>
      <c r="E67">
        <v>3</v>
      </c>
      <c r="F67">
        <v>8695</v>
      </c>
      <c r="G67">
        <v>26085</v>
      </c>
      <c r="H67" t="s">
        <v>12</v>
      </c>
      <c r="I67" t="s">
        <v>18</v>
      </c>
    </row>
    <row r="68" spans="1:9" x14ac:dyDescent="0.55000000000000004">
      <c r="A68">
        <v>1067</v>
      </c>
      <c r="B68" t="s">
        <v>139</v>
      </c>
      <c r="C68" t="s">
        <v>83</v>
      </c>
      <c r="D68" t="s">
        <v>25</v>
      </c>
      <c r="E68">
        <v>1</v>
      </c>
      <c r="F68">
        <v>6683</v>
      </c>
      <c r="G68">
        <v>6683</v>
      </c>
      <c r="H68" t="s">
        <v>17</v>
      </c>
      <c r="I68" t="s">
        <v>18</v>
      </c>
    </row>
    <row r="69" spans="1:9" x14ac:dyDescent="0.55000000000000004">
      <c r="A69">
        <v>1068</v>
      </c>
      <c r="B69" t="s">
        <v>140</v>
      </c>
      <c r="C69" t="s">
        <v>24</v>
      </c>
      <c r="D69" t="s">
        <v>141</v>
      </c>
      <c r="E69">
        <v>3</v>
      </c>
      <c r="F69">
        <v>4372</v>
      </c>
      <c r="G69">
        <v>13116</v>
      </c>
      <c r="H69" t="s">
        <v>26</v>
      </c>
      <c r="I69" t="s">
        <v>18</v>
      </c>
    </row>
    <row r="70" spans="1:9" x14ac:dyDescent="0.55000000000000004">
      <c r="A70">
        <v>1069</v>
      </c>
      <c r="B70" t="s">
        <v>142</v>
      </c>
      <c r="C70" t="s">
        <v>143</v>
      </c>
      <c r="D70" t="s">
        <v>59</v>
      </c>
      <c r="E70">
        <v>5</v>
      </c>
      <c r="F70">
        <v>6060</v>
      </c>
      <c r="G70">
        <v>30300</v>
      </c>
      <c r="H70" t="s">
        <v>26</v>
      </c>
      <c r="I70" t="s">
        <v>55</v>
      </c>
    </row>
    <row r="71" spans="1:9" x14ac:dyDescent="0.55000000000000004">
      <c r="A71">
        <v>1070</v>
      </c>
      <c r="B71" t="s">
        <v>144</v>
      </c>
      <c r="C71" t="s">
        <v>136</v>
      </c>
      <c r="D71" t="s">
        <v>145</v>
      </c>
      <c r="E71">
        <v>4</v>
      </c>
      <c r="F71">
        <v>4719</v>
      </c>
      <c r="G71">
        <v>18876</v>
      </c>
      <c r="H71" t="s">
        <v>17</v>
      </c>
      <c r="I71" t="s">
        <v>55</v>
      </c>
    </row>
    <row r="72" spans="1:9" x14ac:dyDescent="0.55000000000000004">
      <c r="A72">
        <v>1071</v>
      </c>
      <c r="B72" t="s">
        <v>146</v>
      </c>
      <c r="C72" t="s">
        <v>147</v>
      </c>
      <c r="D72" t="s">
        <v>148</v>
      </c>
      <c r="E72">
        <v>3</v>
      </c>
      <c r="F72">
        <v>2921</v>
      </c>
      <c r="G72">
        <v>8763</v>
      </c>
      <c r="H72" t="s">
        <v>12</v>
      </c>
      <c r="I72" t="s">
        <v>13</v>
      </c>
    </row>
    <row r="73" spans="1:9" x14ac:dyDescent="0.55000000000000004">
      <c r="A73">
        <v>1072</v>
      </c>
      <c r="B73" t="s">
        <v>149</v>
      </c>
      <c r="C73" t="s">
        <v>85</v>
      </c>
      <c r="D73" t="s">
        <v>25</v>
      </c>
      <c r="E73">
        <v>2</v>
      </c>
      <c r="F73">
        <v>6947</v>
      </c>
      <c r="G73">
        <v>13894</v>
      </c>
      <c r="H73" t="s">
        <v>22</v>
      </c>
      <c r="I73" t="s">
        <v>55</v>
      </c>
    </row>
    <row r="74" spans="1:9" x14ac:dyDescent="0.55000000000000004">
      <c r="A74">
        <v>1073</v>
      </c>
      <c r="B74" t="s">
        <v>150</v>
      </c>
      <c r="C74" t="s">
        <v>151</v>
      </c>
      <c r="D74" t="s">
        <v>16</v>
      </c>
      <c r="E74">
        <v>2</v>
      </c>
      <c r="F74">
        <v>8446</v>
      </c>
      <c r="G74">
        <v>16892</v>
      </c>
      <c r="H74" t="s">
        <v>22</v>
      </c>
      <c r="I74" t="s">
        <v>18</v>
      </c>
    </row>
    <row r="75" spans="1:9" x14ac:dyDescent="0.55000000000000004">
      <c r="A75">
        <v>1074</v>
      </c>
      <c r="B75" t="s">
        <v>152</v>
      </c>
      <c r="C75" t="s">
        <v>153</v>
      </c>
      <c r="D75" t="s">
        <v>44</v>
      </c>
      <c r="E75">
        <v>2</v>
      </c>
      <c r="F75">
        <v>7532</v>
      </c>
      <c r="G75">
        <v>15064</v>
      </c>
      <c r="H75" t="s">
        <v>17</v>
      </c>
      <c r="I75" t="s">
        <v>13</v>
      </c>
    </row>
    <row r="76" spans="1:9" x14ac:dyDescent="0.55000000000000004">
      <c r="A76">
        <v>1075</v>
      </c>
      <c r="B76" t="s">
        <v>154</v>
      </c>
      <c r="C76" t="s">
        <v>155</v>
      </c>
      <c r="D76" t="s">
        <v>11</v>
      </c>
      <c r="E76">
        <v>5</v>
      </c>
      <c r="F76">
        <v>9080</v>
      </c>
      <c r="G76">
        <v>45400</v>
      </c>
      <c r="H76" t="s">
        <v>22</v>
      </c>
      <c r="I76" t="s">
        <v>55</v>
      </c>
    </row>
    <row r="77" spans="1:9" x14ac:dyDescent="0.55000000000000004">
      <c r="A77">
        <v>1076</v>
      </c>
      <c r="B77" t="s">
        <v>156</v>
      </c>
      <c r="C77" t="s">
        <v>66</v>
      </c>
      <c r="D77" t="s">
        <v>21</v>
      </c>
      <c r="E77">
        <v>1</v>
      </c>
      <c r="F77">
        <v>8955</v>
      </c>
      <c r="G77">
        <v>8955</v>
      </c>
      <c r="H77" t="s">
        <v>12</v>
      </c>
      <c r="I77" t="s">
        <v>55</v>
      </c>
    </row>
    <row r="78" spans="1:9" x14ac:dyDescent="0.55000000000000004">
      <c r="A78">
        <v>1077</v>
      </c>
      <c r="B78" t="s">
        <v>157</v>
      </c>
      <c r="C78" t="s">
        <v>68</v>
      </c>
      <c r="D78" t="s">
        <v>35</v>
      </c>
      <c r="E78">
        <v>2</v>
      </c>
      <c r="F78">
        <v>5385</v>
      </c>
      <c r="G78">
        <v>10770</v>
      </c>
      <c r="H78" t="s">
        <v>17</v>
      </c>
      <c r="I78" t="s">
        <v>55</v>
      </c>
    </row>
    <row r="79" spans="1:9" x14ac:dyDescent="0.55000000000000004">
      <c r="A79">
        <v>1078</v>
      </c>
      <c r="B79" t="s">
        <v>158</v>
      </c>
      <c r="C79" t="s">
        <v>159</v>
      </c>
      <c r="D79" t="s">
        <v>21</v>
      </c>
      <c r="E79">
        <v>2</v>
      </c>
      <c r="F79">
        <v>8799</v>
      </c>
      <c r="G79">
        <v>17598</v>
      </c>
      <c r="H79" t="s">
        <v>22</v>
      </c>
      <c r="I79" t="s">
        <v>13</v>
      </c>
    </row>
    <row r="80" spans="1:9" x14ac:dyDescent="0.55000000000000004">
      <c r="A80">
        <v>1079</v>
      </c>
      <c r="B80" t="s">
        <v>160</v>
      </c>
      <c r="C80" t="s">
        <v>129</v>
      </c>
      <c r="D80" t="s">
        <v>32</v>
      </c>
      <c r="E80">
        <v>4</v>
      </c>
      <c r="F80">
        <v>9657</v>
      </c>
      <c r="G80">
        <v>38628</v>
      </c>
      <c r="H80" t="s">
        <v>26</v>
      </c>
      <c r="I80" t="s">
        <v>55</v>
      </c>
    </row>
    <row r="81" spans="1:9" x14ac:dyDescent="0.55000000000000004">
      <c r="A81">
        <v>1080</v>
      </c>
      <c r="B81" t="s">
        <v>161</v>
      </c>
      <c r="C81" t="s">
        <v>162</v>
      </c>
      <c r="D81" t="s">
        <v>51</v>
      </c>
      <c r="E81">
        <v>5</v>
      </c>
      <c r="F81">
        <v>7957</v>
      </c>
      <c r="G81">
        <v>39785</v>
      </c>
      <c r="H81" t="s">
        <v>12</v>
      </c>
      <c r="I81" t="s">
        <v>55</v>
      </c>
    </row>
    <row r="82" spans="1:9" x14ac:dyDescent="0.55000000000000004">
      <c r="A82">
        <v>1081</v>
      </c>
      <c r="B82" t="s">
        <v>163</v>
      </c>
      <c r="C82" t="s">
        <v>164</v>
      </c>
      <c r="D82" t="s">
        <v>165</v>
      </c>
      <c r="E82">
        <v>2</v>
      </c>
      <c r="F82">
        <v>1522</v>
      </c>
      <c r="G82">
        <v>3044</v>
      </c>
      <c r="H82" t="s">
        <v>12</v>
      </c>
      <c r="I82" t="s">
        <v>13</v>
      </c>
    </row>
    <row r="83" spans="1:9" x14ac:dyDescent="0.55000000000000004">
      <c r="A83">
        <v>1082</v>
      </c>
      <c r="B83" t="s">
        <v>166</v>
      </c>
      <c r="C83" t="s">
        <v>61</v>
      </c>
      <c r="D83" t="s">
        <v>141</v>
      </c>
      <c r="E83">
        <v>2</v>
      </c>
      <c r="F83">
        <v>1715</v>
      </c>
      <c r="G83">
        <v>3430</v>
      </c>
      <c r="H83" t="s">
        <v>12</v>
      </c>
      <c r="I83" t="s">
        <v>18</v>
      </c>
    </row>
    <row r="84" spans="1:9" x14ac:dyDescent="0.55000000000000004">
      <c r="A84">
        <v>1083</v>
      </c>
      <c r="B84" t="s">
        <v>167</v>
      </c>
      <c r="C84" t="s">
        <v>48</v>
      </c>
      <c r="D84" t="s">
        <v>32</v>
      </c>
      <c r="E84">
        <v>4</v>
      </c>
      <c r="F84">
        <v>8102</v>
      </c>
      <c r="G84">
        <v>32408</v>
      </c>
      <c r="H84" t="s">
        <v>12</v>
      </c>
      <c r="I84" t="s">
        <v>55</v>
      </c>
    </row>
    <row r="85" spans="1:9" x14ac:dyDescent="0.55000000000000004">
      <c r="A85">
        <v>1084</v>
      </c>
      <c r="B85" t="s">
        <v>168</v>
      </c>
      <c r="C85" t="s">
        <v>28</v>
      </c>
      <c r="D85" t="s">
        <v>81</v>
      </c>
      <c r="E85">
        <v>2</v>
      </c>
      <c r="F85">
        <v>649</v>
      </c>
      <c r="G85">
        <v>1298</v>
      </c>
      <c r="H85" t="s">
        <v>26</v>
      </c>
      <c r="I85" t="s">
        <v>18</v>
      </c>
    </row>
    <row r="86" spans="1:9" x14ac:dyDescent="0.55000000000000004">
      <c r="A86">
        <v>1085</v>
      </c>
      <c r="B86" t="s">
        <v>169</v>
      </c>
      <c r="C86" t="s">
        <v>118</v>
      </c>
      <c r="D86" t="s">
        <v>11</v>
      </c>
      <c r="E86">
        <v>5</v>
      </c>
      <c r="F86">
        <v>1578</v>
      </c>
      <c r="G86">
        <v>7890</v>
      </c>
      <c r="H86" t="s">
        <v>22</v>
      </c>
      <c r="I86" t="s">
        <v>55</v>
      </c>
    </row>
    <row r="87" spans="1:9" x14ac:dyDescent="0.55000000000000004">
      <c r="A87">
        <v>1086</v>
      </c>
      <c r="B87" t="s">
        <v>170</v>
      </c>
      <c r="C87" t="s">
        <v>155</v>
      </c>
      <c r="D87" t="s">
        <v>109</v>
      </c>
      <c r="E87">
        <v>4</v>
      </c>
      <c r="F87">
        <v>2030</v>
      </c>
      <c r="G87">
        <v>8120</v>
      </c>
      <c r="H87" t="s">
        <v>22</v>
      </c>
      <c r="I87" t="s">
        <v>18</v>
      </c>
    </row>
    <row r="88" spans="1:9" x14ac:dyDescent="0.55000000000000004">
      <c r="A88">
        <v>1087</v>
      </c>
      <c r="B88" t="s">
        <v>171</v>
      </c>
      <c r="C88" t="s">
        <v>155</v>
      </c>
      <c r="D88" t="s">
        <v>25</v>
      </c>
      <c r="E88">
        <v>4</v>
      </c>
      <c r="F88">
        <v>915</v>
      </c>
      <c r="G88">
        <v>3660</v>
      </c>
      <c r="H88" t="s">
        <v>17</v>
      </c>
      <c r="I88" t="s">
        <v>55</v>
      </c>
    </row>
    <row r="89" spans="1:9" x14ac:dyDescent="0.55000000000000004">
      <c r="A89">
        <v>1088</v>
      </c>
      <c r="B89" t="s">
        <v>172</v>
      </c>
      <c r="C89" t="s">
        <v>66</v>
      </c>
      <c r="D89" t="s">
        <v>59</v>
      </c>
      <c r="E89">
        <v>5</v>
      </c>
      <c r="F89">
        <v>2331</v>
      </c>
      <c r="G89">
        <v>11655</v>
      </c>
      <c r="H89" t="s">
        <v>12</v>
      </c>
      <c r="I89" t="s">
        <v>13</v>
      </c>
    </row>
    <row r="90" spans="1:9" x14ac:dyDescent="0.55000000000000004">
      <c r="A90">
        <v>1089</v>
      </c>
      <c r="B90" t="s">
        <v>173</v>
      </c>
      <c r="C90" t="s">
        <v>73</v>
      </c>
      <c r="D90" t="s">
        <v>25</v>
      </c>
      <c r="E90">
        <v>1</v>
      </c>
      <c r="F90">
        <v>1222</v>
      </c>
      <c r="G90">
        <v>1222</v>
      </c>
      <c r="H90" t="s">
        <v>17</v>
      </c>
      <c r="I90" t="s">
        <v>18</v>
      </c>
    </row>
    <row r="91" spans="1:9" x14ac:dyDescent="0.55000000000000004">
      <c r="A91">
        <v>1090</v>
      </c>
      <c r="B91" t="s">
        <v>174</v>
      </c>
      <c r="C91" t="s">
        <v>87</v>
      </c>
      <c r="D91" t="s">
        <v>32</v>
      </c>
      <c r="E91">
        <v>2</v>
      </c>
      <c r="F91">
        <v>9460</v>
      </c>
      <c r="G91">
        <v>18920</v>
      </c>
      <c r="H91" t="s">
        <v>12</v>
      </c>
      <c r="I91" t="s">
        <v>13</v>
      </c>
    </row>
    <row r="92" spans="1:9" x14ac:dyDescent="0.55000000000000004">
      <c r="A92">
        <v>1091</v>
      </c>
      <c r="B92" t="s">
        <v>175</v>
      </c>
      <c r="C92" t="s">
        <v>97</v>
      </c>
      <c r="D92" t="s">
        <v>44</v>
      </c>
      <c r="E92">
        <v>4</v>
      </c>
      <c r="F92">
        <v>2317</v>
      </c>
      <c r="G92">
        <v>9268</v>
      </c>
      <c r="H92" t="s">
        <v>22</v>
      </c>
      <c r="I92" t="s">
        <v>176</v>
      </c>
    </row>
    <row r="93" spans="1:9" x14ac:dyDescent="0.55000000000000004">
      <c r="A93">
        <v>1092</v>
      </c>
      <c r="B93" t="s">
        <v>177</v>
      </c>
      <c r="C93" t="s">
        <v>155</v>
      </c>
      <c r="D93" t="s">
        <v>29</v>
      </c>
      <c r="E93">
        <v>1</v>
      </c>
      <c r="F93">
        <v>1535</v>
      </c>
      <c r="G93">
        <v>1535</v>
      </c>
      <c r="H93" t="s">
        <v>12</v>
      </c>
      <c r="I93" t="s">
        <v>18</v>
      </c>
    </row>
    <row r="94" spans="1:9" x14ac:dyDescent="0.55000000000000004">
      <c r="A94">
        <v>1093</v>
      </c>
      <c r="B94" t="s">
        <v>178</v>
      </c>
      <c r="C94" t="s">
        <v>120</v>
      </c>
      <c r="D94" t="s">
        <v>32</v>
      </c>
      <c r="E94">
        <v>3</v>
      </c>
      <c r="F94">
        <v>3449</v>
      </c>
      <c r="G94">
        <v>10347</v>
      </c>
      <c r="H94" t="s">
        <v>17</v>
      </c>
      <c r="I94" t="s">
        <v>55</v>
      </c>
    </row>
    <row r="95" spans="1:9" x14ac:dyDescent="0.55000000000000004">
      <c r="A95">
        <v>1094</v>
      </c>
      <c r="B95" t="s">
        <v>179</v>
      </c>
      <c r="C95" t="s">
        <v>180</v>
      </c>
      <c r="D95" t="s">
        <v>81</v>
      </c>
      <c r="E95">
        <v>1</v>
      </c>
      <c r="F95">
        <v>9152</v>
      </c>
      <c r="G95">
        <v>9152</v>
      </c>
      <c r="H95" t="s">
        <v>22</v>
      </c>
      <c r="I95" t="s">
        <v>18</v>
      </c>
    </row>
    <row r="96" spans="1:9" x14ac:dyDescent="0.55000000000000004">
      <c r="A96">
        <v>1095</v>
      </c>
      <c r="B96" t="s">
        <v>181</v>
      </c>
      <c r="C96" t="s">
        <v>143</v>
      </c>
      <c r="D96" t="s">
        <v>39</v>
      </c>
      <c r="E96">
        <v>4</v>
      </c>
      <c r="F96">
        <v>1183</v>
      </c>
      <c r="G96">
        <v>4732</v>
      </c>
      <c r="H96" t="s">
        <v>12</v>
      </c>
      <c r="I96" t="s">
        <v>55</v>
      </c>
    </row>
    <row r="97" spans="1:9" x14ac:dyDescent="0.55000000000000004">
      <c r="A97">
        <v>1096</v>
      </c>
      <c r="B97" t="s">
        <v>182</v>
      </c>
      <c r="C97" t="s">
        <v>37</v>
      </c>
      <c r="D97" t="s">
        <v>21</v>
      </c>
      <c r="E97">
        <v>2</v>
      </c>
      <c r="F97">
        <v>5024</v>
      </c>
      <c r="G97">
        <v>10048</v>
      </c>
      <c r="H97" t="s">
        <v>26</v>
      </c>
      <c r="I97" t="s">
        <v>18</v>
      </c>
    </row>
    <row r="98" spans="1:9" x14ac:dyDescent="0.55000000000000004">
      <c r="A98">
        <v>1097</v>
      </c>
      <c r="B98" t="s">
        <v>183</v>
      </c>
      <c r="C98" t="s">
        <v>83</v>
      </c>
      <c r="D98" t="s">
        <v>39</v>
      </c>
      <c r="E98">
        <v>1</v>
      </c>
      <c r="F98">
        <v>5675</v>
      </c>
      <c r="G98">
        <v>5675</v>
      </c>
      <c r="H98" t="s">
        <v>17</v>
      </c>
      <c r="I98" t="s">
        <v>18</v>
      </c>
    </row>
    <row r="99" spans="1:9" x14ac:dyDescent="0.55000000000000004">
      <c r="A99">
        <v>1098</v>
      </c>
      <c r="B99" t="s">
        <v>184</v>
      </c>
      <c r="C99" t="s">
        <v>125</v>
      </c>
      <c r="D99" t="s">
        <v>39</v>
      </c>
      <c r="E99">
        <v>4</v>
      </c>
      <c r="F99">
        <v>6971</v>
      </c>
      <c r="G99">
        <v>27884</v>
      </c>
      <c r="H99" t="s">
        <v>17</v>
      </c>
      <c r="I99" t="s">
        <v>18</v>
      </c>
    </row>
    <row r="100" spans="1:9" x14ac:dyDescent="0.55000000000000004">
      <c r="A100">
        <v>1099</v>
      </c>
      <c r="B100" t="s">
        <v>185</v>
      </c>
      <c r="C100" t="s">
        <v>159</v>
      </c>
      <c r="D100" t="s">
        <v>25</v>
      </c>
      <c r="E100">
        <v>4</v>
      </c>
      <c r="F100">
        <v>4085</v>
      </c>
      <c r="G100">
        <v>16340</v>
      </c>
      <c r="H100" t="s">
        <v>12</v>
      </c>
      <c r="I100" t="s">
        <v>55</v>
      </c>
    </row>
    <row r="101" spans="1:9" x14ac:dyDescent="0.55000000000000004">
      <c r="A101">
        <v>1100</v>
      </c>
      <c r="B101" t="s">
        <v>186</v>
      </c>
      <c r="C101" t="s">
        <v>129</v>
      </c>
      <c r="D101" t="s">
        <v>109</v>
      </c>
      <c r="E101">
        <v>1</v>
      </c>
      <c r="F101">
        <v>9224</v>
      </c>
      <c r="G101">
        <v>9224</v>
      </c>
      <c r="H101" t="s">
        <v>22</v>
      </c>
      <c r="I101" t="s">
        <v>55</v>
      </c>
    </row>
    <row r="102" spans="1:9" x14ac:dyDescent="0.55000000000000004">
      <c r="A102">
        <v>1101</v>
      </c>
      <c r="B102" t="s">
        <v>187</v>
      </c>
      <c r="C102" t="s">
        <v>34</v>
      </c>
      <c r="D102" t="s">
        <v>11</v>
      </c>
      <c r="E102">
        <v>1</v>
      </c>
      <c r="F102">
        <v>778</v>
      </c>
      <c r="G102">
        <v>778</v>
      </c>
      <c r="H102" t="s">
        <v>17</v>
      </c>
      <c r="I102" t="s">
        <v>188</v>
      </c>
    </row>
    <row r="103" spans="1:9" x14ac:dyDescent="0.55000000000000004">
      <c r="A103">
        <v>1102</v>
      </c>
      <c r="B103" t="s">
        <v>189</v>
      </c>
      <c r="C103" t="s">
        <v>129</v>
      </c>
      <c r="D103" t="s">
        <v>145</v>
      </c>
      <c r="E103">
        <v>4</v>
      </c>
      <c r="F103">
        <v>5254</v>
      </c>
      <c r="G103">
        <v>21016</v>
      </c>
      <c r="H103" t="s">
        <v>26</v>
      </c>
      <c r="I103" t="s">
        <v>18</v>
      </c>
    </row>
    <row r="104" spans="1:9" x14ac:dyDescent="0.55000000000000004">
      <c r="A104">
        <v>1103</v>
      </c>
      <c r="B104" t="s">
        <v>190</v>
      </c>
      <c r="C104" t="s">
        <v>31</v>
      </c>
      <c r="D104" t="s">
        <v>11</v>
      </c>
      <c r="E104">
        <v>2</v>
      </c>
      <c r="F104">
        <v>1575</v>
      </c>
      <c r="G104">
        <v>3150</v>
      </c>
      <c r="H104" t="s">
        <v>12</v>
      </c>
      <c r="I104" t="s">
        <v>13</v>
      </c>
    </row>
    <row r="105" spans="1:9" x14ac:dyDescent="0.55000000000000004">
      <c r="A105">
        <v>1104</v>
      </c>
      <c r="B105" t="s">
        <v>191</v>
      </c>
      <c r="C105" t="s">
        <v>83</v>
      </c>
      <c r="D105" t="s">
        <v>44</v>
      </c>
      <c r="E105">
        <v>4</v>
      </c>
      <c r="F105">
        <v>8998</v>
      </c>
      <c r="G105">
        <v>35992</v>
      </c>
      <c r="H105" t="s">
        <v>12</v>
      </c>
      <c r="I105" t="s">
        <v>55</v>
      </c>
    </row>
    <row r="106" spans="1:9" x14ac:dyDescent="0.55000000000000004">
      <c r="A106">
        <v>1105</v>
      </c>
      <c r="B106" t="s">
        <v>192</v>
      </c>
      <c r="C106" t="s">
        <v>193</v>
      </c>
      <c r="D106" t="s">
        <v>29</v>
      </c>
      <c r="E106">
        <v>3</v>
      </c>
      <c r="F106">
        <v>6515</v>
      </c>
      <c r="G106">
        <v>19545</v>
      </c>
      <c r="H106" t="s">
        <v>26</v>
      </c>
      <c r="I106" t="s">
        <v>55</v>
      </c>
    </row>
    <row r="107" spans="1:9" x14ac:dyDescent="0.55000000000000004">
      <c r="A107">
        <v>1106</v>
      </c>
      <c r="B107" t="s">
        <v>194</v>
      </c>
      <c r="C107" t="s">
        <v>20</v>
      </c>
      <c r="D107" t="s">
        <v>59</v>
      </c>
      <c r="E107">
        <v>2</v>
      </c>
      <c r="F107">
        <v>3875</v>
      </c>
      <c r="G107">
        <v>7750</v>
      </c>
      <c r="H107" t="s">
        <v>17</v>
      </c>
      <c r="I107" t="s">
        <v>55</v>
      </c>
    </row>
    <row r="108" spans="1:9" x14ac:dyDescent="0.55000000000000004">
      <c r="A108">
        <v>1107</v>
      </c>
      <c r="B108" t="s">
        <v>195</v>
      </c>
      <c r="C108" t="s">
        <v>196</v>
      </c>
      <c r="D108" t="s">
        <v>21</v>
      </c>
      <c r="E108">
        <v>4</v>
      </c>
      <c r="F108">
        <v>7328</v>
      </c>
      <c r="G108">
        <v>29312</v>
      </c>
      <c r="H108" t="s">
        <v>26</v>
      </c>
      <c r="I108" t="s">
        <v>18</v>
      </c>
    </row>
    <row r="109" spans="1:9" x14ac:dyDescent="0.55000000000000004">
      <c r="A109">
        <v>1108</v>
      </c>
      <c r="B109" t="s">
        <v>197</v>
      </c>
      <c r="C109" t="s">
        <v>180</v>
      </c>
      <c r="D109" t="s">
        <v>21</v>
      </c>
      <c r="E109">
        <v>5</v>
      </c>
      <c r="F109">
        <v>4486</v>
      </c>
      <c r="G109">
        <v>22430</v>
      </c>
      <c r="H109" t="s">
        <v>12</v>
      </c>
      <c r="I109" t="s">
        <v>55</v>
      </c>
    </row>
    <row r="110" spans="1:9" x14ac:dyDescent="0.55000000000000004">
      <c r="A110">
        <v>1109</v>
      </c>
      <c r="B110" t="s">
        <v>198</v>
      </c>
      <c r="C110" t="s">
        <v>125</v>
      </c>
      <c r="D110" t="s">
        <v>44</v>
      </c>
      <c r="E110">
        <v>4</v>
      </c>
      <c r="F110">
        <v>4172</v>
      </c>
      <c r="G110">
        <v>16688</v>
      </c>
      <c r="H110" t="s">
        <v>12</v>
      </c>
      <c r="I110" t="s">
        <v>18</v>
      </c>
    </row>
    <row r="111" spans="1:9" x14ac:dyDescent="0.55000000000000004">
      <c r="A111">
        <v>1110</v>
      </c>
      <c r="B111" t="s">
        <v>199</v>
      </c>
      <c r="C111" t="s">
        <v>143</v>
      </c>
      <c r="D111" t="s">
        <v>25</v>
      </c>
      <c r="E111">
        <v>4</v>
      </c>
      <c r="F111">
        <v>5296</v>
      </c>
      <c r="G111">
        <v>21184</v>
      </c>
      <c r="H111" t="s">
        <v>26</v>
      </c>
      <c r="I111" t="s">
        <v>13</v>
      </c>
    </row>
    <row r="112" spans="1:9" x14ac:dyDescent="0.55000000000000004">
      <c r="A112">
        <v>1111</v>
      </c>
      <c r="B112" t="s">
        <v>200</v>
      </c>
      <c r="C112" t="s">
        <v>201</v>
      </c>
      <c r="D112" t="s">
        <v>81</v>
      </c>
      <c r="E112">
        <v>2</v>
      </c>
      <c r="F112">
        <v>3772</v>
      </c>
      <c r="G112">
        <v>7544</v>
      </c>
      <c r="H112" t="s">
        <v>26</v>
      </c>
      <c r="I112" t="s">
        <v>18</v>
      </c>
    </row>
    <row r="113" spans="1:9" x14ac:dyDescent="0.55000000000000004">
      <c r="A113">
        <v>1112</v>
      </c>
      <c r="B113" t="s">
        <v>202</v>
      </c>
      <c r="C113" t="s">
        <v>85</v>
      </c>
      <c r="D113" t="s">
        <v>39</v>
      </c>
      <c r="E113">
        <v>1</v>
      </c>
      <c r="F113">
        <v>5661</v>
      </c>
      <c r="G113">
        <v>5661</v>
      </c>
      <c r="H113" t="s">
        <v>26</v>
      </c>
      <c r="I113" t="s">
        <v>13</v>
      </c>
    </row>
    <row r="114" spans="1:9" x14ac:dyDescent="0.55000000000000004">
      <c r="A114">
        <v>1113</v>
      </c>
      <c r="B114" t="s">
        <v>203</v>
      </c>
      <c r="C114" t="s">
        <v>99</v>
      </c>
      <c r="D114" t="s">
        <v>59</v>
      </c>
      <c r="E114">
        <v>2</v>
      </c>
      <c r="F114">
        <v>5773</v>
      </c>
      <c r="G114">
        <v>11546</v>
      </c>
      <c r="H114" t="s">
        <v>22</v>
      </c>
      <c r="I114" t="s">
        <v>55</v>
      </c>
    </row>
    <row r="115" spans="1:9" x14ac:dyDescent="0.55000000000000004">
      <c r="A115">
        <v>1114</v>
      </c>
      <c r="B115" t="s">
        <v>204</v>
      </c>
      <c r="C115" t="s">
        <v>83</v>
      </c>
      <c r="D115" t="s">
        <v>44</v>
      </c>
      <c r="E115">
        <v>2</v>
      </c>
      <c r="F115">
        <v>641</v>
      </c>
      <c r="G115">
        <v>1282</v>
      </c>
      <c r="H115" t="s">
        <v>22</v>
      </c>
      <c r="I115" t="s">
        <v>13</v>
      </c>
    </row>
    <row r="116" spans="1:9" x14ac:dyDescent="0.55000000000000004">
      <c r="A116">
        <v>1115</v>
      </c>
      <c r="B116" t="s">
        <v>205</v>
      </c>
      <c r="C116" t="s">
        <v>85</v>
      </c>
      <c r="D116" t="s">
        <v>51</v>
      </c>
      <c r="E116">
        <v>5</v>
      </c>
      <c r="F116">
        <v>2337</v>
      </c>
      <c r="G116">
        <v>11685</v>
      </c>
      <c r="H116" t="s">
        <v>26</v>
      </c>
      <c r="I116" t="s">
        <v>55</v>
      </c>
    </row>
    <row r="117" spans="1:9" x14ac:dyDescent="0.55000000000000004">
      <c r="A117">
        <v>1116</v>
      </c>
      <c r="B117" t="s">
        <v>206</v>
      </c>
      <c r="C117" t="s">
        <v>73</v>
      </c>
      <c r="D117" t="s">
        <v>29</v>
      </c>
      <c r="E117">
        <v>1</v>
      </c>
      <c r="F117">
        <v>3174</v>
      </c>
      <c r="G117">
        <v>3174</v>
      </c>
      <c r="H117" t="s">
        <v>12</v>
      </c>
      <c r="I117" t="s">
        <v>13</v>
      </c>
    </row>
    <row r="118" spans="1:9" x14ac:dyDescent="0.55000000000000004">
      <c r="A118">
        <v>1117</v>
      </c>
      <c r="B118" t="s">
        <v>207</v>
      </c>
      <c r="C118" t="s">
        <v>101</v>
      </c>
      <c r="D118" t="s">
        <v>11</v>
      </c>
      <c r="E118">
        <v>1</v>
      </c>
      <c r="F118">
        <v>2578</v>
      </c>
      <c r="G118">
        <v>2578</v>
      </c>
      <c r="H118" t="s">
        <v>26</v>
      </c>
      <c r="I118" t="s">
        <v>13</v>
      </c>
    </row>
    <row r="119" spans="1:9" x14ac:dyDescent="0.55000000000000004">
      <c r="A119">
        <v>1118</v>
      </c>
      <c r="B119" t="s">
        <v>208</v>
      </c>
      <c r="C119" t="s">
        <v>41</v>
      </c>
      <c r="D119" t="s">
        <v>16</v>
      </c>
      <c r="E119">
        <v>4</v>
      </c>
      <c r="F119">
        <v>9641</v>
      </c>
      <c r="G119">
        <v>38564</v>
      </c>
      <c r="H119" t="s">
        <v>22</v>
      </c>
      <c r="I119" t="s">
        <v>13</v>
      </c>
    </row>
    <row r="120" spans="1:9" x14ac:dyDescent="0.55000000000000004">
      <c r="A120">
        <v>1119</v>
      </c>
      <c r="B120" t="s">
        <v>209</v>
      </c>
      <c r="C120" t="s">
        <v>77</v>
      </c>
      <c r="D120" t="s">
        <v>109</v>
      </c>
      <c r="E120">
        <v>3</v>
      </c>
      <c r="F120">
        <v>768</v>
      </c>
      <c r="G120">
        <v>2304</v>
      </c>
      <c r="H120" t="s">
        <v>12</v>
      </c>
      <c r="I120" t="s">
        <v>18</v>
      </c>
    </row>
    <row r="121" spans="1:9" x14ac:dyDescent="0.55000000000000004">
      <c r="A121">
        <v>1120</v>
      </c>
      <c r="B121" t="s">
        <v>210</v>
      </c>
      <c r="C121" t="s">
        <v>20</v>
      </c>
      <c r="D121" t="s">
        <v>145</v>
      </c>
      <c r="E121">
        <v>5</v>
      </c>
      <c r="F121">
        <v>6867</v>
      </c>
      <c r="G121">
        <v>34335</v>
      </c>
      <c r="H121" t="s">
        <v>22</v>
      </c>
      <c r="I121" t="s">
        <v>18</v>
      </c>
    </row>
    <row r="122" spans="1:9" x14ac:dyDescent="0.55000000000000004">
      <c r="A122">
        <v>1121</v>
      </c>
      <c r="B122" t="s">
        <v>211</v>
      </c>
      <c r="D122" t="s">
        <v>32</v>
      </c>
      <c r="E122">
        <v>5</v>
      </c>
      <c r="F122">
        <v>8891</v>
      </c>
      <c r="G122">
        <v>44455</v>
      </c>
      <c r="H122" t="s">
        <v>17</v>
      </c>
      <c r="I122" t="s">
        <v>18</v>
      </c>
    </row>
    <row r="123" spans="1:9" x14ac:dyDescent="0.55000000000000004">
      <c r="A123">
        <v>1122</v>
      </c>
      <c r="B123" t="s">
        <v>212</v>
      </c>
      <c r="C123" t="s">
        <v>34</v>
      </c>
      <c r="D123" t="s">
        <v>16</v>
      </c>
      <c r="E123">
        <v>4</v>
      </c>
      <c r="F123">
        <v>7463</v>
      </c>
      <c r="G123">
        <v>29852</v>
      </c>
      <c r="H123" t="s">
        <v>22</v>
      </c>
      <c r="I123" t="s">
        <v>18</v>
      </c>
    </row>
    <row r="124" spans="1:9" x14ac:dyDescent="0.55000000000000004">
      <c r="A124">
        <v>1123</v>
      </c>
      <c r="B124" t="s">
        <v>213</v>
      </c>
      <c r="C124" t="s">
        <v>97</v>
      </c>
      <c r="D124" t="s">
        <v>44</v>
      </c>
      <c r="E124">
        <v>1</v>
      </c>
      <c r="F124">
        <v>1243</v>
      </c>
      <c r="G124">
        <v>1243</v>
      </c>
      <c r="H124" t="s">
        <v>17</v>
      </c>
      <c r="I124" t="s">
        <v>18</v>
      </c>
    </row>
    <row r="125" spans="1:9" x14ac:dyDescent="0.55000000000000004">
      <c r="A125">
        <v>1124</v>
      </c>
      <c r="B125" t="s">
        <v>214</v>
      </c>
      <c r="C125" t="s">
        <v>143</v>
      </c>
      <c r="D125" t="s">
        <v>145</v>
      </c>
      <c r="E125">
        <v>4</v>
      </c>
      <c r="F125">
        <v>3680</v>
      </c>
      <c r="G125">
        <v>14720</v>
      </c>
      <c r="H125" t="s">
        <v>12</v>
      </c>
      <c r="I125" t="s">
        <v>55</v>
      </c>
    </row>
    <row r="126" spans="1:9" x14ac:dyDescent="0.55000000000000004">
      <c r="A126">
        <v>1125</v>
      </c>
      <c r="B126" t="s">
        <v>215</v>
      </c>
      <c r="C126" t="s">
        <v>133</v>
      </c>
      <c r="D126" t="s">
        <v>59</v>
      </c>
      <c r="E126">
        <v>3</v>
      </c>
      <c r="F126">
        <v>3270</v>
      </c>
      <c r="G126">
        <v>9810</v>
      </c>
      <c r="H126" t="s">
        <v>12</v>
      </c>
      <c r="I126" t="s">
        <v>18</v>
      </c>
    </row>
    <row r="127" spans="1:9" x14ac:dyDescent="0.55000000000000004">
      <c r="A127">
        <v>1126</v>
      </c>
      <c r="B127" t="s">
        <v>216</v>
      </c>
      <c r="C127" t="s">
        <v>66</v>
      </c>
      <c r="D127" t="s">
        <v>11</v>
      </c>
      <c r="E127">
        <v>2</v>
      </c>
      <c r="F127">
        <v>8303</v>
      </c>
      <c r="G127">
        <v>16606</v>
      </c>
      <c r="H127" t="s">
        <v>17</v>
      </c>
      <c r="I127" t="s">
        <v>13</v>
      </c>
    </row>
    <row r="128" spans="1:9" x14ac:dyDescent="0.55000000000000004">
      <c r="A128">
        <v>1127</v>
      </c>
      <c r="B128" t="s">
        <v>217</v>
      </c>
      <c r="C128" t="s">
        <v>71</v>
      </c>
      <c r="D128" t="s">
        <v>145</v>
      </c>
      <c r="E128">
        <v>3</v>
      </c>
      <c r="F128">
        <v>2858</v>
      </c>
      <c r="G128">
        <v>8574</v>
      </c>
      <c r="H128" t="s">
        <v>26</v>
      </c>
      <c r="I128" t="s">
        <v>13</v>
      </c>
    </row>
    <row r="129" spans="1:9" x14ac:dyDescent="0.55000000000000004">
      <c r="A129">
        <v>1128</v>
      </c>
      <c r="B129" t="s">
        <v>218</v>
      </c>
      <c r="C129" t="s">
        <v>24</v>
      </c>
      <c r="D129" t="s">
        <v>145</v>
      </c>
      <c r="E129">
        <v>3</v>
      </c>
      <c r="F129">
        <v>3620</v>
      </c>
      <c r="G129">
        <v>10860</v>
      </c>
      <c r="H129" t="s">
        <v>26</v>
      </c>
      <c r="I129" t="s">
        <v>18</v>
      </c>
    </row>
    <row r="130" spans="1:9" x14ac:dyDescent="0.55000000000000004">
      <c r="A130">
        <v>1129</v>
      </c>
      <c r="B130" t="s">
        <v>219</v>
      </c>
      <c r="C130" t="s">
        <v>54</v>
      </c>
      <c r="D130" t="s">
        <v>44</v>
      </c>
      <c r="E130">
        <v>3</v>
      </c>
      <c r="F130">
        <v>922</v>
      </c>
      <c r="G130">
        <v>2766</v>
      </c>
      <c r="H130" t="s">
        <v>26</v>
      </c>
      <c r="I130" t="s">
        <v>55</v>
      </c>
    </row>
    <row r="131" spans="1:9" x14ac:dyDescent="0.55000000000000004">
      <c r="A131">
        <v>1130</v>
      </c>
      <c r="B131" t="s">
        <v>220</v>
      </c>
      <c r="C131" t="s">
        <v>193</v>
      </c>
      <c r="D131" t="s">
        <v>21</v>
      </c>
      <c r="E131">
        <v>3</v>
      </c>
      <c r="F131">
        <v>6586</v>
      </c>
      <c r="G131">
        <v>19758</v>
      </c>
      <c r="H131" t="s">
        <v>12</v>
      </c>
      <c r="I131" t="s">
        <v>18</v>
      </c>
    </row>
    <row r="132" spans="1:9" x14ac:dyDescent="0.55000000000000004">
      <c r="A132">
        <v>1131</v>
      </c>
      <c r="B132" t="s">
        <v>221</v>
      </c>
      <c r="C132" t="s">
        <v>54</v>
      </c>
      <c r="D132" t="s">
        <v>25</v>
      </c>
      <c r="E132">
        <v>5</v>
      </c>
      <c r="F132">
        <v>7281</v>
      </c>
      <c r="G132">
        <v>36405</v>
      </c>
      <c r="H132" t="s">
        <v>222</v>
      </c>
      <c r="I132" t="s">
        <v>18</v>
      </c>
    </row>
    <row r="133" spans="1:9" x14ac:dyDescent="0.55000000000000004">
      <c r="A133">
        <v>1132</v>
      </c>
      <c r="B133" t="s">
        <v>223</v>
      </c>
      <c r="C133" t="s">
        <v>91</v>
      </c>
      <c r="D133" t="s">
        <v>44</v>
      </c>
      <c r="E133">
        <v>5</v>
      </c>
      <c r="F133">
        <v>9219</v>
      </c>
      <c r="G133">
        <v>46095</v>
      </c>
      <c r="H133" t="s">
        <v>22</v>
      </c>
      <c r="I133" t="s">
        <v>13</v>
      </c>
    </row>
    <row r="134" spans="1:9" x14ac:dyDescent="0.55000000000000004">
      <c r="A134">
        <v>1133</v>
      </c>
      <c r="B134" t="s">
        <v>224</v>
      </c>
      <c r="C134" t="s">
        <v>68</v>
      </c>
      <c r="D134" t="s">
        <v>145</v>
      </c>
      <c r="E134">
        <v>3</v>
      </c>
      <c r="F134">
        <v>5114</v>
      </c>
      <c r="G134">
        <v>15342</v>
      </c>
      <c r="H134" t="s">
        <v>17</v>
      </c>
      <c r="I134" t="s">
        <v>18</v>
      </c>
    </row>
    <row r="135" spans="1:9" x14ac:dyDescent="0.55000000000000004">
      <c r="A135">
        <v>1134</v>
      </c>
      <c r="B135" t="s">
        <v>225</v>
      </c>
      <c r="C135" t="s">
        <v>87</v>
      </c>
      <c r="D135" t="s">
        <v>29</v>
      </c>
      <c r="E135">
        <v>5</v>
      </c>
      <c r="F135">
        <v>6726</v>
      </c>
      <c r="G135">
        <v>33630</v>
      </c>
      <c r="H135" t="s">
        <v>17</v>
      </c>
      <c r="I135" t="s">
        <v>13</v>
      </c>
    </row>
    <row r="136" spans="1:9" x14ac:dyDescent="0.55000000000000004">
      <c r="A136">
        <v>1135</v>
      </c>
      <c r="B136" t="s">
        <v>226</v>
      </c>
      <c r="C136" t="s">
        <v>87</v>
      </c>
      <c r="D136" t="s">
        <v>21</v>
      </c>
      <c r="E136">
        <v>1</v>
      </c>
      <c r="F136">
        <v>2496</v>
      </c>
      <c r="G136">
        <v>2496</v>
      </c>
      <c r="H136" t="s">
        <v>12</v>
      </c>
      <c r="I136" t="s">
        <v>55</v>
      </c>
    </row>
    <row r="137" spans="1:9" x14ac:dyDescent="0.55000000000000004">
      <c r="A137">
        <v>1136</v>
      </c>
      <c r="B137" t="s">
        <v>227</v>
      </c>
      <c r="C137" t="s">
        <v>46</v>
      </c>
      <c r="D137" t="s">
        <v>109</v>
      </c>
      <c r="E137">
        <v>2</v>
      </c>
      <c r="F137">
        <v>4163</v>
      </c>
      <c r="G137">
        <v>8326</v>
      </c>
      <c r="H137" t="s">
        <v>26</v>
      </c>
      <c r="I137" t="s">
        <v>18</v>
      </c>
    </row>
    <row r="138" spans="1:9" x14ac:dyDescent="0.55000000000000004">
      <c r="A138">
        <v>1137</v>
      </c>
      <c r="B138" t="s">
        <v>228</v>
      </c>
      <c r="C138" t="s">
        <v>118</v>
      </c>
      <c r="D138" t="s">
        <v>16</v>
      </c>
      <c r="E138">
        <v>1</v>
      </c>
      <c r="F138">
        <v>2719</v>
      </c>
      <c r="G138">
        <v>2719</v>
      </c>
      <c r="H138" t="s">
        <v>17</v>
      </c>
      <c r="I138" t="s">
        <v>13</v>
      </c>
    </row>
    <row r="139" spans="1:9" x14ac:dyDescent="0.55000000000000004">
      <c r="A139">
        <v>1138</v>
      </c>
      <c r="B139" t="s">
        <v>229</v>
      </c>
      <c r="C139" t="s">
        <v>58</v>
      </c>
      <c r="D139" t="s">
        <v>59</v>
      </c>
      <c r="E139">
        <v>1</v>
      </c>
      <c r="F139">
        <v>8162</v>
      </c>
      <c r="G139">
        <v>8162</v>
      </c>
      <c r="H139" t="s">
        <v>22</v>
      </c>
      <c r="I139" t="s">
        <v>55</v>
      </c>
    </row>
    <row r="140" spans="1:9" x14ac:dyDescent="0.55000000000000004">
      <c r="A140">
        <v>1139</v>
      </c>
      <c r="B140" t="s">
        <v>230</v>
      </c>
      <c r="C140" t="s">
        <v>89</v>
      </c>
      <c r="D140" t="s">
        <v>16</v>
      </c>
      <c r="E140">
        <v>2</v>
      </c>
      <c r="F140">
        <v>9049</v>
      </c>
      <c r="G140">
        <v>18098</v>
      </c>
      <c r="H140" t="s">
        <v>12</v>
      </c>
      <c r="I140" t="s">
        <v>13</v>
      </c>
    </row>
    <row r="141" spans="1:9" x14ac:dyDescent="0.55000000000000004">
      <c r="A141">
        <v>1140</v>
      </c>
      <c r="B141" t="s">
        <v>231</v>
      </c>
      <c r="C141" t="s">
        <v>48</v>
      </c>
      <c r="D141" t="s">
        <v>81</v>
      </c>
      <c r="E141">
        <v>2</v>
      </c>
      <c r="F141">
        <v>1863</v>
      </c>
      <c r="G141">
        <v>3726</v>
      </c>
      <c r="H141" t="s">
        <v>17</v>
      </c>
      <c r="I141" t="s">
        <v>18</v>
      </c>
    </row>
    <row r="142" spans="1:9" x14ac:dyDescent="0.55000000000000004">
      <c r="A142">
        <v>1141</v>
      </c>
      <c r="B142" t="s">
        <v>232</v>
      </c>
      <c r="C142" t="s">
        <v>63</v>
      </c>
      <c r="D142" t="s">
        <v>145</v>
      </c>
      <c r="E142">
        <v>2</v>
      </c>
      <c r="F142">
        <v>6709</v>
      </c>
      <c r="G142">
        <v>13418</v>
      </c>
      <c r="H142" t="s">
        <v>233</v>
      </c>
      <c r="I142" t="s">
        <v>18</v>
      </c>
    </row>
    <row r="143" spans="1:9" x14ac:dyDescent="0.55000000000000004">
      <c r="A143">
        <v>1142</v>
      </c>
      <c r="B143" t="s">
        <v>234</v>
      </c>
      <c r="C143" t="s">
        <v>31</v>
      </c>
      <c r="D143" t="s">
        <v>35</v>
      </c>
      <c r="E143">
        <v>3</v>
      </c>
      <c r="F143">
        <v>6195</v>
      </c>
      <c r="G143">
        <v>18585</v>
      </c>
      <c r="H143" t="s">
        <v>26</v>
      </c>
      <c r="I143" t="s">
        <v>18</v>
      </c>
    </row>
    <row r="144" spans="1:9" x14ac:dyDescent="0.55000000000000004">
      <c r="A144">
        <v>1143</v>
      </c>
      <c r="B144" t="s">
        <v>235</v>
      </c>
      <c r="C144" t="s">
        <v>85</v>
      </c>
      <c r="D144" t="s">
        <v>25</v>
      </c>
      <c r="E144">
        <v>2</v>
      </c>
      <c r="F144">
        <v>3251</v>
      </c>
      <c r="G144">
        <v>6502</v>
      </c>
      <c r="H144" t="s">
        <v>26</v>
      </c>
      <c r="I144" t="s">
        <v>55</v>
      </c>
    </row>
    <row r="145" spans="1:9" x14ac:dyDescent="0.55000000000000004">
      <c r="A145">
        <v>1144</v>
      </c>
      <c r="B145" t="s">
        <v>236</v>
      </c>
      <c r="C145" t="s">
        <v>61</v>
      </c>
      <c r="D145" t="s">
        <v>25</v>
      </c>
      <c r="E145">
        <v>4</v>
      </c>
      <c r="F145">
        <v>4693</v>
      </c>
      <c r="G145">
        <v>18772</v>
      </c>
      <c r="H145" t="s">
        <v>26</v>
      </c>
      <c r="I145" t="s">
        <v>18</v>
      </c>
    </row>
    <row r="146" spans="1:9" x14ac:dyDescent="0.55000000000000004">
      <c r="A146">
        <v>1145</v>
      </c>
      <c r="B146" t="s">
        <v>237</v>
      </c>
      <c r="C146" t="s">
        <v>79</v>
      </c>
      <c r="D146" t="s">
        <v>35</v>
      </c>
      <c r="E146">
        <v>4</v>
      </c>
      <c r="F146">
        <v>7958</v>
      </c>
      <c r="G146">
        <v>31832</v>
      </c>
      <c r="H146" t="s">
        <v>26</v>
      </c>
      <c r="I146" t="s">
        <v>13</v>
      </c>
    </row>
    <row r="147" spans="1:9" x14ac:dyDescent="0.55000000000000004">
      <c r="A147">
        <v>1146</v>
      </c>
      <c r="B147" t="s">
        <v>238</v>
      </c>
      <c r="C147" t="s">
        <v>111</v>
      </c>
      <c r="D147" t="s">
        <v>29</v>
      </c>
      <c r="E147">
        <v>2</v>
      </c>
      <c r="F147">
        <v>2354</v>
      </c>
      <c r="G147">
        <v>4708</v>
      </c>
      <c r="H147" t="s">
        <v>12</v>
      </c>
      <c r="I147" t="s">
        <v>55</v>
      </c>
    </row>
    <row r="148" spans="1:9" x14ac:dyDescent="0.55000000000000004">
      <c r="A148">
        <v>1147</v>
      </c>
      <c r="B148" t="s">
        <v>239</v>
      </c>
      <c r="C148" t="s">
        <v>120</v>
      </c>
      <c r="D148" t="s">
        <v>32</v>
      </c>
      <c r="E148">
        <v>1</v>
      </c>
      <c r="F148">
        <v>7820</v>
      </c>
      <c r="G148">
        <v>7820</v>
      </c>
      <c r="H148" t="s">
        <v>17</v>
      </c>
      <c r="I148" t="s">
        <v>55</v>
      </c>
    </row>
    <row r="149" spans="1:9" x14ac:dyDescent="0.55000000000000004">
      <c r="A149">
        <v>1148</v>
      </c>
      <c r="B149" t="s">
        <v>240</v>
      </c>
      <c r="C149" t="s">
        <v>111</v>
      </c>
      <c r="D149" t="s">
        <v>29</v>
      </c>
      <c r="E149">
        <v>3</v>
      </c>
      <c r="F149">
        <v>7988</v>
      </c>
      <c r="G149">
        <v>23964</v>
      </c>
      <c r="H149" t="s">
        <v>17</v>
      </c>
      <c r="I149" t="s">
        <v>13</v>
      </c>
    </row>
    <row r="150" spans="1:9" x14ac:dyDescent="0.55000000000000004">
      <c r="A150">
        <v>1149</v>
      </c>
      <c r="B150" t="s">
        <v>241</v>
      </c>
      <c r="C150" t="s">
        <v>68</v>
      </c>
      <c r="D150" t="s">
        <v>35</v>
      </c>
      <c r="E150">
        <v>5</v>
      </c>
      <c r="F150">
        <v>629</v>
      </c>
      <c r="G150">
        <v>3145</v>
      </c>
      <c r="H150" t="s">
        <v>17</v>
      </c>
      <c r="I150" t="s">
        <v>13</v>
      </c>
    </row>
    <row r="151" spans="1:9" x14ac:dyDescent="0.55000000000000004">
      <c r="A151">
        <v>1150</v>
      </c>
      <c r="B151" t="s">
        <v>242</v>
      </c>
      <c r="C151" t="s">
        <v>63</v>
      </c>
      <c r="D151" t="s">
        <v>25</v>
      </c>
      <c r="E151">
        <v>5</v>
      </c>
      <c r="F151">
        <v>1325</v>
      </c>
      <c r="G151">
        <v>6625</v>
      </c>
      <c r="H151" t="s">
        <v>17</v>
      </c>
      <c r="I151" t="s">
        <v>18</v>
      </c>
    </row>
    <row r="152" spans="1:9" x14ac:dyDescent="0.55000000000000004">
      <c r="A152">
        <v>1151</v>
      </c>
      <c r="B152" t="s">
        <v>243</v>
      </c>
      <c r="C152" t="s">
        <v>116</v>
      </c>
      <c r="D152" t="s">
        <v>35</v>
      </c>
      <c r="E152">
        <v>1</v>
      </c>
      <c r="G152">
        <v>1522</v>
      </c>
      <c r="H152" t="s">
        <v>17</v>
      </c>
      <c r="I152" t="s">
        <v>18</v>
      </c>
    </row>
    <row r="153" spans="1:9" x14ac:dyDescent="0.55000000000000004">
      <c r="A153">
        <v>1152</v>
      </c>
      <c r="B153" t="s">
        <v>244</v>
      </c>
      <c r="C153" t="s">
        <v>85</v>
      </c>
      <c r="D153" t="s">
        <v>39</v>
      </c>
      <c r="E153">
        <v>5</v>
      </c>
      <c r="F153">
        <v>4582</v>
      </c>
      <c r="G153">
        <v>22910</v>
      </c>
      <c r="H153" t="s">
        <v>17</v>
      </c>
      <c r="I153" t="s">
        <v>13</v>
      </c>
    </row>
    <row r="154" spans="1:9" x14ac:dyDescent="0.55000000000000004">
      <c r="A154">
        <v>1153</v>
      </c>
      <c r="B154" t="s">
        <v>245</v>
      </c>
      <c r="C154" t="s">
        <v>34</v>
      </c>
      <c r="D154" t="s">
        <v>21</v>
      </c>
      <c r="E154">
        <v>4</v>
      </c>
      <c r="F154">
        <v>2295</v>
      </c>
      <c r="G154">
        <v>9180</v>
      </c>
      <c r="H154" t="s">
        <v>12</v>
      </c>
      <c r="I154" t="s">
        <v>18</v>
      </c>
    </row>
    <row r="155" spans="1:9" x14ac:dyDescent="0.55000000000000004">
      <c r="A155">
        <v>1154</v>
      </c>
      <c r="B155" t="s">
        <v>246</v>
      </c>
      <c r="C155" t="s">
        <v>151</v>
      </c>
      <c r="D155" t="s">
        <v>81</v>
      </c>
      <c r="E155">
        <v>2</v>
      </c>
      <c r="F155">
        <v>1407</v>
      </c>
      <c r="G155">
        <v>2814</v>
      </c>
      <c r="H155" t="s">
        <v>26</v>
      </c>
      <c r="I155" t="s">
        <v>55</v>
      </c>
    </row>
    <row r="156" spans="1:9" x14ac:dyDescent="0.55000000000000004">
      <c r="A156">
        <v>1155</v>
      </c>
      <c r="B156" t="s">
        <v>247</v>
      </c>
      <c r="C156" t="s">
        <v>101</v>
      </c>
      <c r="D156" t="s">
        <v>145</v>
      </c>
      <c r="E156">
        <v>5</v>
      </c>
      <c r="F156">
        <v>9213</v>
      </c>
      <c r="G156">
        <v>46065</v>
      </c>
      <c r="H156" t="s">
        <v>17</v>
      </c>
      <c r="I156" t="s">
        <v>55</v>
      </c>
    </row>
    <row r="157" spans="1:9" x14ac:dyDescent="0.55000000000000004">
      <c r="A157">
        <v>1156</v>
      </c>
      <c r="B157" t="s">
        <v>248</v>
      </c>
      <c r="C157" t="s">
        <v>104</v>
      </c>
      <c r="D157" t="s">
        <v>51</v>
      </c>
      <c r="E157">
        <v>3</v>
      </c>
      <c r="F157">
        <v>619</v>
      </c>
      <c r="G157">
        <v>1857</v>
      </c>
      <c r="H157" t="s">
        <v>12</v>
      </c>
      <c r="I157" t="s">
        <v>18</v>
      </c>
    </row>
    <row r="158" spans="1:9" x14ac:dyDescent="0.55000000000000004">
      <c r="A158">
        <v>1157</v>
      </c>
      <c r="B158" t="s">
        <v>249</v>
      </c>
      <c r="C158" t="s">
        <v>159</v>
      </c>
      <c r="D158" t="s">
        <v>145</v>
      </c>
      <c r="E158">
        <v>1</v>
      </c>
      <c r="F158">
        <v>3532</v>
      </c>
      <c r="G158">
        <v>3532</v>
      </c>
      <c r="H158" t="s">
        <v>22</v>
      </c>
      <c r="I158" t="s">
        <v>13</v>
      </c>
    </row>
    <row r="159" spans="1:9" x14ac:dyDescent="0.55000000000000004">
      <c r="A159">
        <v>1158</v>
      </c>
      <c r="B159" t="s">
        <v>250</v>
      </c>
      <c r="C159" t="s">
        <v>129</v>
      </c>
      <c r="D159" t="s">
        <v>16</v>
      </c>
      <c r="E159">
        <v>1</v>
      </c>
      <c r="F159">
        <v>1609</v>
      </c>
      <c r="G159">
        <v>1609</v>
      </c>
      <c r="H159" t="s">
        <v>26</v>
      </c>
      <c r="I159" t="s">
        <v>18</v>
      </c>
    </row>
    <row r="160" spans="1:9" x14ac:dyDescent="0.55000000000000004">
      <c r="A160">
        <v>1159</v>
      </c>
      <c r="B160" t="s">
        <v>251</v>
      </c>
      <c r="C160" t="s">
        <v>125</v>
      </c>
      <c r="D160" t="s">
        <v>29</v>
      </c>
      <c r="E160">
        <v>1</v>
      </c>
      <c r="F160">
        <v>8664</v>
      </c>
      <c r="G160">
        <v>8664</v>
      </c>
      <c r="H160" t="s">
        <v>12</v>
      </c>
      <c r="I160" t="s">
        <v>18</v>
      </c>
    </row>
    <row r="161" spans="1:9" x14ac:dyDescent="0.55000000000000004">
      <c r="A161">
        <v>1160</v>
      </c>
      <c r="B161" t="s">
        <v>252</v>
      </c>
      <c r="C161" t="s">
        <v>68</v>
      </c>
      <c r="D161" t="s">
        <v>51</v>
      </c>
      <c r="E161">
        <v>1</v>
      </c>
      <c r="F161">
        <v>3268</v>
      </c>
      <c r="G161">
        <v>3268</v>
      </c>
      <c r="H161" t="s">
        <v>17</v>
      </c>
      <c r="I161" t="s">
        <v>13</v>
      </c>
    </row>
    <row r="162" spans="1:9" x14ac:dyDescent="0.55000000000000004">
      <c r="A162">
        <v>1161</v>
      </c>
      <c r="B162" t="s">
        <v>253</v>
      </c>
      <c r="C162" t="s">
        <v>63</v>
      </c>
      <c r="D162" t="s">
        <v>29</v>
      </c>
      <c r="E162">
        <v>3</v>
      </c>
      <c r="G162">
        <v>12132</v>
      </c>
      <c r="H162" t="s">
        <v>22</v>
      </c>
      <c r="I162" t="s">
        <v>13</v>
      </c>
    </row>
    <row r="163" spans="1:9" x14ac:dyDescent="0.55000000000000004">
      <c r="A163">
        <v>1162</v>
      </c>
      <c r="B163" t="s">
        <v>254</v>
      </c>
      <c r="C163" t="s">
        <v>143</v>
      </c>
      <c r="D163" t="s">
        <v>81</v>
      </c>
      <c r="E163">
        <v>2</v>
      </c>
      <c r="F163">
        <v>4672</v>
      </c>
      <c r="G163">
        <v>9344</v>
      </c>
      <c r="H163" t="s">
        <v>12</v>
      </c>
      <c r="I163" t="s">
        <v>55</v>
      </c>
    </row>
    <row r="164" spans="1:9" x14ac:dyDescent="0.55000000000000004">
      <c r="A164">
        <v>1163</v>
      </c>
      <c r="B164" t="s">
        <v>255</v>
      </c>
      <c r="C164" t="s">
        <v>31</v>
      </c>
      <c r="D164" t="s">
        <v>29</v>
      </c>
      <c r="E164">
        <v>2</v>
      </c>
      <c r="F164">
        <v>4542</v>
      </c>
      <c r="G164">
        <v>9084</v>
      </c>
      <c r="H164" t="s">
        <v>17</v>
      </c>
      <c r="I164" t="s">
        <v>55</v>
      </c>
    </row>
    <row r="165" spans="1:9" x14ac:dyDescent="0.55000000000000004">
      <c r="A165">
        <v>1164</v>
      </c>
      <c r="B165" t="s">
        <v>256</v>
      </c>
      <c r="C165" t="s">
        <v>136</v>
      </c>
      <c r="D165" t="s">
        <v>141</v>
      </c>
      <c r="E165">
        <v>1</v>
      </c>
      <c r="F165">
        <v>4896</v>
      </c>
      <c r="G165">
        <v>4896</v>
      </c>
      <c r="H165" t="s">
        <v>22</v>
      </c>
      <c r="I165" t="s">
        <v>55</v>
      </c>
    </row>
    <row r="166" spans="1:9" x14ac:dyDescent="0.55000000000000004">
      <c r="A166">
        <v>1165</v>
      </c>
      <c r="B166" t="s">
        <v>257</v>
      </c>
      <c r="C166" t="s">
        <v>34</v>
      </c>
      <c r="D166" t="s">
        <v>11</v>
      </c>
      <c r="E166">
        <v>4</v>
      </c>
      <c r="F166">
        <v>7613</v>
      </c>
      <c r="G166">
        <v>30452</v>
      </c>
      <c r="H166" t="s">
        <v>22</v>
      </c>
      <c r="I166" t="s">
        <v>13</v>
      </c>
    </row>
    <row r="167" spans="1:9" x14ac:dyDescent="0.55000000000000004">
      <c r="A167">
        <v>1166</v>
      </c>
      <c r="B167" t="s">
        <v>258</v>
      </c>
      <c r="C167" t="s">
        <v>89</v>
      </c>
      <c r="D167" t="s">
        <v>16</v>
      </c>
      <c r="E167">
        <v>5</v>
      </c>
      <c r="F167">
        <v>2363</v>
      </c>
      <c r="G167">
        <v>11815</v>
      </c>
      <c r="H167" t="s">
        <v>26</v>
      </c>
      <c r="I167" t="s">
        <v>55</v>
      </c>
    </row>
    <row r="168" spans="1:9" x14ac:dyDescent="0.55000000000000004">
      <c r="A168">
        <v>1167</v>
      </c>
      <c r="B168" t="s">
        <v>259</v>
      </c>
      <c r="C168" t="s">
        <v>63</v>
      </c>
      <c r="D168" t="s">
        <v>145</v>
      </c>
      <c r="E168">
        <v>3</v>
      </c>
      <c r="F168">
        <v>6545</v>
      </c>
      <c r="G168">
        <v>19635</v>
      </c>
      <c r="H168" t="s">
        <v>17</v>
      </c>
      <c r="I168" t="s">
        <v>55</v>
      </c>
    </row>
    <row r="169" spans="1:9" x14ac:dyDescent="0.55000000000000004">
      <c r="A169">
        <v>1168</v>
      </c>
      <c r="B169" t="s">
        <v>260</v>
      </c>
      <c r="C169" t="s">
        <v>50</v>
      </c>
      <c r="D169" t="s">
        <v>44</v>
      </c>
      <c r="E169">
        <v>5</v>
      </c>
      <c r="F169">
        <v>4014</v>
      </c>
      <c r="G169">
        <v>20070</v>
      </c>
      <c r="H169" t="s">
        <v>17</v>
      </c>
      <c r="I169" t="s">
        <v>13</v>
      </c>
    </row>
    <row r="170" spans="1:9" x14ac:dyDescent="0.55000000000000004">
      <c r="A170">
        <v>1169</v>
      </c>
      <c r="B170" t="s">
        <v>261</v>
      </c>
      <c r="C170" t="s">
        <v>101</v>
      </c>
      <c r="D170" t="s">
        <v>81</v>
      </c>
      <c r="E170">
        <v>4</v>
      </c>
      <c r="F170">
        <v>5515</v>
      </c>
      <c r="G170">
        <v>22060</v>
      </c>
      <c r="H170" t="s">
        <v>17</v>
      </c>
      <c r="I170" t="s">
        <v>55</v>
      </c>
    </row>
    <row r="171" spans="1:9" x14ac:dyDescent="0.55000000000000004">
      <c r="A171">
        <v>1170</v>
      </c>
      <c r="B171" t="s">
        <v>262</v>
      </c>
      <c r="C171" t="s">
        <v>143</v>
      </c>
      <c r="D171" t="s">
        <v>25</v>
      </c>
      <c r="E171">
        <v>3</v>
      </c>
      <c r="F171">
        <v>3651</v>
      </c>
      <c r="G171">
        <v>10953</v>
      </c>
      <c r="H171" t="s">
        <v>12</v>
      </c>
      <c r="I171" t="s">
        <v>55</v>
      </c>
    </row>
    <row r="172" spans="1:9" x14ac:dyDescent="0.55000000000000004">
      <c r="A172">
        <v>1171</v>
      </c>
      <c r="B172" t="s">
        <v>263</v>
      </c>
      <c r="C172" t="s">
        <v>41</v>
      </c>
      <c r="D172" t="s">
        <v>29</v>
      </c>
      <c r="E172">
        <v>4</v>
      </c>
      <c r="F172">
        <v>5950</v>
      </c>
      <c r="G172">
        <v>23800</v>
      </c>
      <c r="H172" t="s">
        <v>12</v>
      </c>
      <c r="I172" t="s">
        <v>13</v>
      </c>
    </row>
    <row r="173" spans="1:9" x14ac:dyDescent="0.55000000000000004">
      <c r="A173">
        <v>1172</v>
      </c>
      <c r="B173" t="s">
        <v>264</v>
      </c>
      <c r="C173" t="s">
        <v>118</v>
      </c>
      <c r="D173" t="s">
        <v>141</v>
      </c>
      <c r="E173">
        <v>1</v>
      </c>
      <c r="F173">
        <v>4661</v>
      </c>
      <c r="G173">
        <v>4661</v>
      </c>
      <c r="H173" t="s">
        <v>22</v>
      </c>
      <c r="I173" t="s">
        <v>13</v>
      </c>
    </row>
    <row r="174" spans="1:9" x14ac:dyDescent="0.55000000000000004">
      <c r="A174">
        <v>1173</v>
      </c>
      <c r="B174" t="s">
        <v>265</v>
      </c>
      <c r="C174" t="s">
        <v>34</v>
      </c>
      <c r="D174" t="s">
        <v>44</v>
      </c>
      <c r="E174">
        <v>2</v>
      </c>
      <c r="F174">
        <v>2938</v>
      </c>
      <c r="G174">
        <v>5876</v>
      </c>
      <c r="H174" t="s">
        <v>12</v>
      </c>
      <c r="I174" t="s">
        <v>18</v>
      </c>
    </row>
    <row r="175" spans="1:9" x14ac:dyDescent="0.55000000000000004">
      <c r="A175">
        <v>1174</v>
      </c>
      <c r="B175" t="s">
        <v>266</v>
      </c>
      <c r="C175" t="s">
        <v>180</v>
      </c>
      <c r="D175" t="s">
        <v>11</v>
      </c>
      <c r="E175">
        <v>1</v>
      </c>
      <c r="F175">
        <v>8375</v>
      </c>
      <c r="G175">
        <v>8375</v>
      </c>
      <c r="H175" t="s">
        <v>22</v>
      </c>
      <c r="I175" t="s">
        <v>55</v>
      </c>
    </row>
    <row r="176" spans="1:9" x14ac:dyDescent="0.55000000000000004">
      <c r="A176">
        <v>1175</v>
      </c>
      <c r="B176" t="s">
        <v>267</v>
      </c>
      <c r="C176" t="s">
        <v>159</v>
      </c>
      <c r="D176" t="s">
        <v>44</v>
      </c>
      <c r="E176">
        <v>4</v>
      </c>
      <c r="F176">
        <v>6020</v>
      </c>
      <c r="G176">
        <v>24080</v>
      </c>
      <c r="H176" t="s">
        <v>12</v>
      </c>
      <c r="I176" t="s">
        <v>13</v>
      </c>
    </row>
    <row r="177" spans="1:9" x14ac:dyDescent="0.55000000000000004">
      <c r="A177">
        <v>1176</v>
      </c>
      <c r="B177" t="s">
        <v>268</v>
      </c>
      <c r="C177" t="s">
        <v>61</v>
      </c>
      <c r="D177" t="s">
        <v>16</v>
      </c>
      <c r="E177">
        <v>2</v>
      </c>
      <c r="F177">
        <v>8188</v>
      </c>
      <c r="G177">
        <v>16376</v>
      </c>
      <c r="H177" t="s">
        <v>22</v>
      </c>
      <c r="I177" t="s">
        <v>55</v>
      </c>
    </row>
    <row r="178" spans="1:9" x14ac:dyDescent="0.55000000000000004">
      <c r="A178">
        <v>1177</v>
      </c>
      <c r="B178" t="s">
        <v>269</v>
      </c>
      <c r="C178" t="s">
        <v>162</v>
      </c>
      <c r="D178" t="s">
        <v>145</v>
      </c>
      <c r="E178">
        <v>3</v>
      </c>
      <c r="F178">
        <v>2551</v>
      </c>
      <c r="G178">
        <v>7653</v>
      </c>
      <c r="H178" t="s">
        <v>22</v>
      </c>
      <c r="I178" t="s">
        <v>18</v>
      </c>
    </row>
    <row r="179" spans="1:9" x14ac:dyDescent="0.55000000000000004">
      <c r="A179">
        <v>1178</v>
      </c>
      <c r="B179" t="s">
        <v>270</v>
      </c>
      <c r="C179" t="s">
        <v>48</v>
      </c>
      <c r="D179" t="s">
        <v>51</v>
      </c>
      <c r="E179">
        <v>5</v>
      </c>
      <c r="F179">
        <v>9851</v>
      </c>
      <c r="G179">
        <v>49255</v>
      </c>
      <c r="H179" t="s">
        <v>12</v>
      </c>
      <c r="I179" t="s">
        <v>18</v>
      </c>
    </row>
    <row r="180" spans="1:9" x14ac:dyDescent="0.55000000000000004">
      <c r="A180">
        <v>1179</v>
      </c>
      <c r="B180" t="s">
        <v>271</v>
      </c>
      <c r="C180" t="s">
        <v>164</v>
      </c>
      <c r="D180" t="s">
        <v>29</v>
      </c>
      <c r="E180">
        <v>5</v>
      </c>
      <c r="F180">
        <v>1022</v>
      </c>
      <c r="G180">
        <v>5110</v>
      </c>
      <c r="H180" t="s">
        <v>26</v>
      </c>
      <c r="I180" t="s">
        <v>13</v>
      </c>
    </row>
    <row r="181" spans="1:9" x14ac:dyDescent="0.55000000000000004">
      <c r="A181">
        <v>1180</v>
      </c>
      <c r="B181" t="s">
        <v>272</v>
      </c>
      <c r="C181" t="s">
        <v>24</v>
      </c>
      <c r="D181" t="s">
        <v>29</v>
      </c>
      <c r="E181">
        <v>3</v>
      </c>
      <c r="F181">
        <v>6220</v>
      </c>
      <c r="G181">
        <v>18660</v>
      </c>
      <c r="H181" t="s">
        <v>17</v>
      </c>
      <c r="I181" t="s">
        <v>18</v>
      </c>
    </row>
    <row r="182" spans="1:9" x14ac:dyDescent="0.55000000000000004">
      <c r="A182">
        <v>1181</v>
      </c>
      <c r="B182" t="s">
        <v>273</v>
      </c>
      <c r="C182" t="s">
        <v>77</v>
      </c>
      <c r="D182" t="s">
        <v>145</v>
      </c>
      <c r="E182">
        <v>4</v>
      </c>
      <c r="F182">
        <v>5820</v>
      </c>
      <c r="G182">
        <v>23280</v>
      </c>
      <c r="H182" t="s">
        <v>17</v>
      </c>
      <c r="I182" t="s">
        <v>13</v>
      </c>
    </row>
    <row r="183" spans="1:9" x14ac:dyDescent="0.55000000000000004">
      <c r="A183">
        <v>1182</v>
      </c>
      <c r="B183" t="s">
        <v>274</v>
      </c>
      <c r="C183" t="s">
        <v>37</v>
      </c>
      <c r="D183" t="s">
        <v>32</v>
      </c>
      <c r="E183">
        <v>4</v>
      </c>
      <c r="F183">
        <v>6762</v>
      </c>
      <c r="G183">
        <v>27048</v>
      </c>
      <c r="H183" t="s">
        <v>17</v>
      </c>
      <c r="I183" t="s">
        <v>13</v>
      </c>
    </row>
    <row r="184" spans="1:9" x14ac:dyDescent="0.55000000000000004">
      <c r="A184">
        <v>1183</v>
      </c>
      <c r="B184" t="s">
        <v>275</v>
      </c>
      <c r="C184" t="s">
        <v>129</v>
      </c>
      <c r="D184" t="s">
        <v>81</v>
      </c>
      <c r="E184">
        <v>3</v>
      </c>
      <c r="F184">
        <v>4829</v>
      </c>
      <c r="G184">
        <v>14487</v>
      </c>
      <c r="H184" t="s">
        <v>22</v>
      </c>
      <c r="I184" t="s">
        <v>18</v>
      </c>
    </row>
    <row r="185" spans="1:9" x14ac:dyDescent="0.55000000000000004">
      <c r="A185">
        <v>1184</v>
      </c>
      <c r="B185" t="s">
        <v>276</v>
      </c>
      <c r="C185" t="s">
        <v>277</v>
      </c>
      <c r="D185" t="s">
        <v>39</v>
      </c>
      <c r="E185">
        <v>4</v>
      </c>
      <c r="F185">
        <v>6698</v>
      </c>
      <c r="G185">
        <v>26792</v>
      </c>
      <c r="H185" t="s">
        <v>26</v>
      </c>
      <c r="I185" t="s">
        <v>18</v>
      </c>
    </row>
    <row r="186" spans="1:9" x14ac:dyDescent="0.55000000000000004">
      <c r="A186">
        <v>1185</v>
      </c>
      <c r="B186" t="s">
        <v>278</v>
      </c>
      <c r="C186" t="s">
        <v>20</v>
      </c>
      <c r="D186" t="s">
        <v>145</v>
      </c>
      <c r="E186">
        <v>2</v>
      </c>
      <c r="F186">
        <v>1453</v>
      </c>
      <c r="G186">
        <v>2906</v>
      </c>
      <c r="H186" t="s">
        <v>22</v>
      </c>
      <c r="I186" t="s">
        <v>55</v>
      </c>
    </row>
    <row r="187" spans="1:9" x14ac:dyDescent="0.55000000000000004">
      <c r="A187">
        <v>1186</v>
      </c>
      <c r="B187" t="s">
        <v>279</v>
      </c>
      <c r="C187" t="s">
        <v>87</v>
      </c>
      <c r="D187" t="s">
        <v>109</v>
      </c>
      <c r="E187">
        <v>4</v>
      </c>
      <c r="F187">
        <v>8605</v>
      </c>
      <c r="G187">
        <v>34420</v>
      </c>
      <c r="H187" t="s">
        <v>12</v>
      </c>
      <c r="I187" t="s">
        <v>18</v>
      </c>
    </row>
    <row r="188" spans="1:9" x14ac:dyDescent="0.55000000000000004">
      <c r="A188">
        <v>1187</v>
      </c>
      <c r="B188" t="s">
        <v>280</v>
      </c>
      <c r="C188" t="s">
        <v>91</v>
      </c>
      <c r="D188" t="s">
        <v>141</v>
      </c>
      <c r="E188">
        <v>3</v>
      </c>
      <c r="F188">
        <v>8145</v>
      </c>
      <c r="G188">
        <v>24435</v>
      </c>
      <c r="H188" t="s">
        <v>22</v>
      </c>
      <c r="I188" t="s">
        <v>55</v>
      </c>
    </row>
    <row r="189" spans="1:9" x14ac:dyDescent="0.55000000000000004">
      <c r="A189">
        <v>1188</v>
      </c>
      <c r="B189" t="s">
        <v>281</v>
      </c>
      <c r="C189" t="s">
        <v>104</v>
      </c>
      <c r="D189" t="s">
        <v>29</v>
      </c>
      <c r="E189">
        <v>4</v>
      </c>
      <c r="F189">
        <v>4818</v>
      </c>
      <c r="G189">
        <v>19272</v>
      </c>
      <c r="H189" t="s">
        <v>26</v>
      </c>
      <c r="I189" t="s">
        <v>13</v>
      </c>
    </row>
    <row r="190" spans="1:9" x14ac:dyDescent="0.55000000000000004">
      <c r="A190">
        <v>1189</v>
      </c>
      <c r="B190" t="s">
        <v>282</v>
      </c>
      <c r="C190" t="s">
        <v>87</v>
      </c>
      <c r="D190" t="s">
        <v>81</v>
      </c>
      <c r="E190">
        <v>3</v>
      </c>
      <c r="F190">
        <v>2745</v>
      </c>
      <c r="G190">
        <v>8235</v>
      </c>
      <c r="H190" t="s">
        <v>12</v>
      </c>
      <c r="I190" t="s">
        <v>55</v>
      </c>
    </row>
    <row r="191" spans="1:9" x14ac:dyDescent="0.55000000000000004">
      <c r="A191">
        <v>1190</v>
      </c>
      <c r="B191" t="s">
        <v>283</v>
      </c>
      <c r="C191" t="s">
        <v>66</v>
      </c>
      <c r="D191" t="s">
        <v>29</v>
      </c>
      <c r="E191">
        <v>3</v>
      </c>
      <c r="F191">
        <v>5497</v>
      </c>
      <c r="G191">
        <v>16491</v>
      </c>
      <c r="H191" t="s">
        <v>12</v>
      </c>
      <c r="I191" t="s">
        <v>18</v>
      </c>
    </row>
    <row r="192" spans="1:9" x14ac:dyDescent="0.55000000000000004">
      <c r="A192">
        <v>1191</v>
      </c>
      <c r="B192" t="s">
        <v>284</v>
      </c>
      <c r="C192" t="s">
        <v>61</v>
      </c>
      <c r="D192" t="s">
        <v>29</v>
      </c>
      <c r="E192">
        <v>3</v>
      </c>
      <c r="F192">
        <v>2145</v>
      </c>
      <c r="G192">
        <v>6435</v>
      </c>
      <c r="H192" t="s">
        <v>17</v>
      </c>
      <c r="I192" t="s">
        <v>13</v>
      </c>
    </row>
    <row r="193" spans="1:9" x14ac:dyDescent="0.55000000000000004">
      <c r="A193">
        <v>1192</v>
      </c>
      <c r="B193" t="s">
        <v>285</v>
      </c>
      <c r="C193" t="s">
        <v>125</v>
      </c>
      <c r="D193" t="s">
        <v>29</v>
      </c>
      <c r="E193">
        <v>4</v>
      </c>
      <c r="F193">
        <v>4301</v>
      </c>
      <c r="G193">
        <v>17204</v>
      </c>
      <c r="H193" t="s">
        <v>22</v>
      </c>
      <c r="I193" t="s">
        <v>55</v>
      </c>
    </row>
    <row r="194" spans="1:9" x14ac:dyDescent="0.55000000000000004">
      <c r="A194">
        <v>1193</v>
      </c>
      <c r="B194" t="s">
        <v>286</v>
      </c>
      <c r="C194" t="s">
        <v>48</v>
      </c>
      <c r="D194" t="s">
        <v>109</v>
      </c>
      <c r="E194">
        <v>3</v>
      </c>
      <c r="F194">
        <v>5829</v>
      </c>
      <c r="G194">
        <v>17487</v>
      </c>
      <c r="H194" t="s">
        <v>26</v>
      </c>
      <c r="I194" t="s">
        <v>18</v>
      </c>
    </row>
    <row r="195" spans="1:9" x14ac:dyDescent="0.55000000000000004">
      <c r="A195">
        <v>1194</v>
      </c>
      <c r="B195" t="s">
        <v>287</v>
      </c>
      <c r="C195" t="s">
        <v>50</v>
      </c>
      <c r="D195" t="s">
        <v>81</v>
      </c>
      <c r="E195">
        <v>5</v>
      </c>
      <c r="F195">
        <v>1182</v>
      </c>
      <c r="G195">
        <v>5910</v>
      </c>
      <c r="H195" t="s">
        <v>22</v>
      </c>
      <c r="I195" t="s">
        <v>13</v>
      </c>
    </row>
    <row r="196" spans="1:9" x14ac:dyDescent="0.55000000000000004">
      <c r="A196">
        <v>1195</v>
      </c>
      <c r="B196" t="s">
        <v>288</v>
      </c>
      <c r="C196" t="s">
        <v>162</v>
      </c>
      <c r="D196" t="s">
        <v>109</v>
      </c>
      <c r="E196">
        <v>3</v>
      </c>
      <c r="F196">
        <v>2921</v>
      </c>
      <c r="G196">
        <v>8763</v>
      </c>
      <c r="H196" t="s">
        <v>26</v>
      </c>
      <c r="I196" t="s">
        <v>18</v>
      </c>
    </row>
    <row r="197" spans="1:9" x14ac:dyDescent="0.55000000000000004">
      <c r="A197">
        <v>1196</v>
      </c>
      <c r="B197" t="s">
        <v>289</v>
      </c>
      <c r="C197" t="s">
        <v>118</v>
      </c>
      <c r="D197" t="s">
        <v>25</v>
      </c>
      <c r="E197">
        <v>4</v>
      </c>
      <c r="F197">
        <v>4644</v>
      </c>
      <c r="G197">
        <v>18576</v>
      </c>
      <c r="H197" t="s">
        <v>12</v>
      </c>
      <c r="I197" t="s">
        <v>55</v>
      </c>
    </row>
    <row r="198" spans="1:9" x14ac:dyDescent="0.55000000000000004">
      <c r="A198">
        <v>1197</v>
      </c>
      <c r="B198" t="s">
        <v>290</v>
      </c>
      <c r="C198" t="s">
        <v>24</v>
      </c>
      <c r="D198" t="s">
        <v>109</v>
      </c>
      <c r="E198">
        <v>3</v>
      </c>
      <c r="F198">
        <v>9347</v>
      </c>
      <c r="G198">
        <v>28041</v>
      </c>
      <c r="H198" t="s">
        <v>17</v>
      </c>
      <c r="I198" t="s">
        <v>13</v>
      </c>
    </row>
    <row r="199" spans="1:9" x14ac:dyDescent="0.55000000000000004">
      <c r="A199">
        <v>1198</v>
      </c>
      <c r="B199" t="s">
        <v>291</v>
      </c>
      <c r="C199" t="s">
        <v>193</v>
      </c>
      <c r="D199" t="s">
        <v>21</v>
      </c>
      <c r="E199">
        <v>5</v>
      </c>
      <c r="F199">
        <v>3250</v>
      </c>
      <c r="G199">
        <v>16250</v>
      </c>
      <c r="H199" t="s">
        <v>26</v>
      </c>
      <c r="I199" t="s">
        <v>13</v>
      </c>
    </row>
    <row r="200" spans="1:9" x14ac:dyDescent="0.55000000000000004">
      <c r="A200">
        <v>1199</v>
      </c>
      <c r="B200" t="s">
        <v>292</v>
      </c>
      <c r="C200" t="s">
        <v>24</v>
      </c>
      <c r="D200" t="s">
        <v>59</v>
      </c>
      <c r="E200">
        <v>3</v>
      </c>
      <c r="F200">
        <v>2535</v>
      </c>
      <c r="G200">
        <v>7605</v>
      </c>
      <c r="H200" t="s">
        <v>22</v>
      </c>
      <c r="I200" t="s">
        <v>18</v>
      </c>
    </row>
    <row r="201" spans="1:9" x14ac:dyDescent="0.55000000000000004">
      <c r="A201">
        <v>1200</v>
      </c>
      <c r="B201" t="s">
        <v>293</v>
      </c>
      <c r="C201" t="s">
        <v>129</v>
      </c>
      <c r="D201" t="s">
        <v>141</v>
      </c>
      <c r="E201">
        <v>2</v>
      </c>
      <c r="F201">
        <v>8950</v>
      </c>
      <c r="G201">
        <v>17900</v>
      </c>
      <c r="H201" t="s">
        <v>26</v>
      </c>
      <c r="I201" t="s">
        <v>13</v>
      </c>
    </row>
    <row r="202" spans="1:9" x14ac:dyDescent="0.55000000000000004">
      <c r="A202">
        <v>1201</v>
      </c>
      <c r="B202" t="s">
        <v>294</v>
      </c>
      <c r="C202" t="s">
        <v>63</v>
      </c>
      <c r="D202" t="s">
        <v>81</v>
      </c>
      <c r="E202">
        <v>4</v>
      </c>
      <c r="F202">
        <v>2470</v>
      </c>
      <c r="G202">
        <v>9880</v>
      </c>
      <c r="H202" t="s">
        <v>22</v>
      </c>
      <c r="I202" t="s">
        <v>13</v>
      </c>
    </row>
    <row r="203" spans="1:9" x14ac:dyDescent="0.55000000000000004">
      <c r="A203">
        <v>1202</v>
      </c>
      <c r="B203" t="s">
        <v>295</v>
      </c>
      <c r="C203" t="s">
        <v>296</v>
      </c>
      <c r="D203" t="s">
        <v>141</v>
      </c>
      <c r="E203">
        <v>5</v>
      </c>
      <c r="F203">
        <v>2580</v>
      </c>
      <c r="G203">
        <v>12900</v>
      </c>
      <c r="H203" t="s">
        <v>12</v>
      </c>
      <c r="I203" t="s">
        <v>13</v>
      </c>
    </row>
    <row r="204" spans="1:9" x14ac:dyDescent="0.55000000000000004">
      <c r="A204">
        <v>1203</v>
      </c>
      <c r="B204" t="s">
        <v>297</v>
      </c>
      <c r="C204" t="s">
        <v>15</v>
      </c>
      <c r="D204" t="s">
        <v>81</v>
      </c>
      <c r="E204">
        <v>2</v>
      </c>
      <c r="F204">
        <v>569</v>
      </c>
      <c r="G204">
        <v>1138</v>
      </c>
      <c r="H204" t="s">
        <v>26</v>
      </c>
      <c r="I204" t="s">
        <v>13</v>
      </c>
    </row>
    <row r="205" spans="1:9" x14ac:dyDescent="0.55000000000000004">
      <c r="A205">
        <v>1204</v>
      </c>
      <c r="B205" t="s">
        <v>298</v>
      </c>
      <c r="C205" t="s">
        <v>99</v>
      </c>
      <c r="D205" t="s">
        <v>109</v>
      </c>
      <c r="E205">
        <v>4</v>
      </c>
      <c r="F205">
        <v>1388</v>
      </c>
      <c r="G205">
        <v>5552</v>
      </c>
      <c r="H205" t="s">
        <v>17</v>
      </c>
      <c r="I205" t="s">
        <v>55</v>
      </c>
    </row>
    <row r="206" spans="1:9" x14ac:dyDescent="0.55000000000000004">
      <c r="A206">
        <v>1205</v>
      </c>
      <c r="B206" t="s">
        <v>299</v>
      </c>
      <c r="C206" t="s">
        <v>68</v>
      </c>
      <c r="D206" t="s">
        <v>32</v>
      </c>
      <c r="E206">
        <v>5</v>
      </c>
      <c r="F206">
        <v>1167</v>
      </c>
      <c r="G206">
        <v>5835</v>
      </c>
      <c r="H206" t="s">
        <v>22</v>
      </c>
      <c r="I206" t="s">
        <v>18</v>
      </c>
    </row>
    <row r="207" spans="1:9" x14ac:dyDescent="0.55000000000000004">
      <c r="A207">
        <v>1206</v>
      </c>
      <c r="B207" t="s">
        <v>300</v>
      </c>
      <c r="C207" t="s">
        <v>79</v>
      </c>
      <c r="D207" t="s">
        <v>109</v>
      </c>
      <c r="E207">
        <v>1</v>
      </c>
      <c r="F207">
        <v>9266</v>
      </c>
      <c r="G207">
        <v>9266</v>
      </c>
      <c r="H207" t="s">
        <v>17</v>
      </c>
      <c r="I207" t="s">
        <v>13</v>
      </c>
    </row>
    <row r="208" spans="1:9" x14ac:dyDescent="0.55000000000000004">
      <c r="A208">
        <v>1207</v>
      </c>
      <c r="B208" t="s">
        <v>301</v>
      </c>
      <c r="C208" t="s">
        <v>114</v>
      </c>
      <c r="D208" t="s">
        <v>16</v>
      </c>
      <c r="E208">
        <v>5</v>
      </c>
      <c r="F208">
        <v>8736</v>
      </c>
      <c r="G208">
        <v>43680</v>
      </c>
      <c r="H208" t="s">
        <v>26</v>
      </c>
      <c r="I208" t="s">
        <v>13</v>
      </c>
    </row>
    <row r="209" spans="1:9" x14ac:dyDescent="0.55000000000000004">
      <c r="A209">
        <v>1208</v>
      </c>
      <c r="B209" t="s">
        <v>302</v>
      </c>
      <c r="C209" t="s">
        <v>162</v>
      </c>
      <c r="D209" t="s">
        <v>44</v>
      </c>
      <c r="E209">
        <v>4</v>
      </c>
      <c r="F209">
        <v>7666</v>
      </c>
      <c r="G209">
        <v>30664</v>
      </c>
      <c r="H209" t="s">
        <v>22</v>
      </c>
      <c r="I209" t="s">
        <v>55</v>
      </c>
    </row>
    <row r="210" spans="1:9" x14ac:dyDescent="0.55000000000000004">
      <c r="A210">
        <v>1209</v>
      </c>
      <c r="B210" t="s">
        <v>303</v>
      </c>
      <c r="C210" t="s">
        <v>83</v>
      </c>
      <c r="D210" t="s">
        <v>109</v>
      </c>
      <c r="E210">
        <v>5</v>
      </c>
      <c r="F210">
        <v>2384</v>
      </c>
      <c r="G210">
        <v>11920</v>
      </c>
      <c r="H210" t="s">
        <v>17</v>
      </c>
      <c r="I210" t="s">
        <v>18</v>
      </c>
    </row>
    <row r="211" spans="1:9" x14ac:dyDescent="0.55000000000000004">
      <c r="A211">
        <v>1210</v>
      </c>
      <c r="B211" t="s">
        <v>304</v>
      </c>
      <c r="C211" t="s">
        <v>147</v>
      </c>
      <c r="D211" t="s">
        <v>109</v>
      </c>
      <c r="E211">
        <v>2</v>
      </c>
      <c r="F211">
        <v>8753</v>
      </c>
      <c r="G211">
        <v>17506</v>
      </c>
      <c r="H211" t="s">
        <v>17</v>
      </c>
      <c r="I211" t="s">
        <v>55</v>
      </c>
    </row>
    <row r="212" spans="1:9" x14ac:dyDescent="0.55000000000000004">
      <c r="A212">
        <v>1211</v>
      </c>
      <c r="B212" t="s">
        <v>305</v>
      </c>
      <c r="C212" t="s">
        <v>54</v>
      </c>
      <c r="D212" t="s">
        <v>11</v>
      </c>
      <c r="E212">
        <v>1</v>
      </c>
      <c r="F212">
        <v>1428</v>
      </c>
      <c r="G212">
        <v>1428</v>
      </c>
      <c r="H212" t="s">
        <v>12</v>
      </c>
      <c r="I212" t="s">
        <v>18</v>
      </c>
    </row>
    <row r="213" spans="1:9" x14ac:dyDescent="0.55000000000000004">
      <c r="A213">
        <v>1212</v>
      </c>
      <c r="B213" t="s">
        <v>306</v>
      </c>
      <c r="C213" t="s">
        <v>15</v>
      </c>
      <c r="D213" t="s">
        <v>11</v>
      </c>
      <c r="E213">
        <v>2</v>
      </c>
      <c r="F213">
        <v>1800</v>
      </c>
      <c r="G213">
        <v>3600</v>
      </c>
      <c r="H213" t="s">
        <v>17</v>
      </c>
      <c r="I213" t="s">
        <v>55</v>
      </c>
    </row>
    <row r="214" spans="1:9" x14ac:dyDescent="0.55000000000000004">
      <c r="A214">
        <v>1213</v>
      </c>
      <c r="B214" t="s">
        <v>307</v>
      </c>
      <c r="C214" t="s">
        <v>99</v>
      </c>
      <c r="D214" t="s">
        <v>39</v>
      </c>
      <c r="E214">
        <v>5</v>
      </c>
      <c r="F214">
        <v>5731</v>
      </c>
      <c r="G214">
        <v>28655</v>
      </c>
      <c r="H214" t="s">
        <v>26</v>
      </c>
      <c r="I214" t="s">
        <v>18</v>
      </c>
    </row>
    <row r="215" spans="1:9" x14ac:dyDescent="0.55000000000000004">
      <c r="A215">
        <v>1214</v>
      </c>
      <c r="B215" t="s">
        <v>308</v>
      </c>
      <c r="C215" t="s">
        <v>116</v>
      </c>
      <c r="D215" t="s">
        <v>109</v>
      </c>
      <c r="E215">
        <v>2</v>
      </c>
      <c r="F215">
        <v>4614</v>
      </c>
      <c r="G215">
        <v>9228</v>
      </c>
      <c r="H215" t="s">
        <v>12</v>
      </c>
      <c r="I215" t="s">
        <v>13</v>
      </c>
    </row>
    <row r="216" spans="1:9" x14ac:dyDescent="0.55000000000000004">
      <c r="A216">
        <v>1215</v>
      </c>
      <c r="B216" t="s">
        <v>309</v>
      </c>
      <c r="C216" t="s">
        <v>68</v>
      </c>
      <c r="D216" t="s">
        <v>81</v>
      </c>
      <c r="E216">
        <v>2</v>
      </c>
      <c r="F216">
        <v>6083</v>
      </c>
      <c r="G216">
        <v>12166</v>
      </c>
      <c r="H216" t="s">
        <v>26</v>
      </c>
      <c r="I216" t="s">
        <v>13</v>
      </c>
    </row>
    <row r="217" spans="1:9" x14ac:dyDescent="0.55000000000000004">
      <c r="A217">
        <v>1216</v>
      </c>
      <c r="B217" t="s">
        <v>310</v>
      </c>
      <c r="C217" t="s">
        <v>63</v>
      </c>
      <c r="D217" t="s">
        <v>21</v>
      </c>
      <c r="E217">
        <v>4</v>
      </c>
      <c r="F217">
        <v>5311</v>
      </c>
      <c r="G217">
        <v>21244</v>
      </c>
      <c r="H217" t="s">
        <v>26</v>
      </c>
      <c r="I217" t="s">
        <v>13</v>
      </c>
    </row>
    <row r="218" spans="1:9" x14ac:dyDescent="0.55000000000000004">
      <c r="A218">
        <v>1217</v>
      </c>
      <c r="B218" t="s">
        <v>311</v>
      </c>
      <c r="C218" t="s">
        <v>196</v>
      </c>
      <c r="D218" t="s">
        <v>39</v>
      </c>
      <c r="E218">
        <v>5</v>
      </c>
      <c r="F218">
        <v>7985</v>
      </c>
      <c r="G218">
        <v>39925</v>
      </c>
      <c r="H218" t="s">
        <v>22</v>
      </c>
      <c r="I218" t="s">
        <v>18</v>
      </c>
    </row>
    <row r="219" spans="1:9" x14ac:dyDescent="0.55000000000000004">
      <c r="A219">
        <v>1218</v>
      </c>
      <c r="B219" t="s">
        <v>312</v>
      </c>
      <c r="C219" t="s">
        <v>313</v>
      </c>
      <c r="D219" t="s">
        <v>35</v>
      </c>
      <c r="E219">
        <v>2</v>
      </c>
      <c r="F219">
        <v>5382</v>
      </c>
      <c r="G219">
        <v>10764</v>
      </c>
      <c r="H219" t="s">
        <v>22</v>
      </c>
      <c r="I219" t="s">
        <v>18</v>
      </c>
    </row>
    <row r="220" spans="1:9" x14ac:dyDescent="0.55000000000000004">
      <c r="A220">
        <v>1219</v>
      </c>
      <c r="B220" t="s">
        <v>314</v>
      </c>
      <c r="C220" t="s">
        <v>50</v>
      </c>
      <c r="D220" t="s">
        <v>29</v>
      </c>
      <c r="E220">
        <v>3</v>
      </c>
      <c r="F220">
        <v>4467</v>
      </c>
      <c r="G220">
        <v>13401</v>
      </c>
      <c r="H220" t="s">
        <v>26</v>
      </c>
      <c r="I220" t="s">
        <v>13</v>
      </c>
    </row>
    <row r="221" spans="1:9" x14ac:dyDescent="0.55000000000000004">
      <c r="A221">
        <v>1220</v>
      </c>
      <c r="B221" t="s">
        <v>315</v>
      </c>
      <c r="C221" t="s">
        <v>143</v>
      </c>
      <c r="D221" t="s">
        <v>145</v>
      </c>
      <c r="E221">
        <v>4</v>
      </c>
      <c r="F221">
        <v>3222</v>
      </c>
      <c r="G221">
        <v>12888</v>
      </c>
      <c r="H221" t="s">
        <v>12</v>
      </c>
      <c r="I221" t="s">
        <v>18</v>
      </c>
    </row>
    <row r="222" spans="1:9" x14ac:dyDescent="0.55000000000000004">
      <c r="A222">
        <v>1221</v>
      </c>
      <c r="B222" t="s">
        <v>316</v>
      </c>
      <c r="C222" t="s">
        <v>116</v>
      </c>
      <c r="D222" t="s">
        <v>81</v>
      </c>
      <c r="E222">
        <v>4</v>
      </c>
      <c r="F222">
        <v>1293</v>
      </c>
      <c r="G222">
        <v>5172</v>
      </c>
      <c r="H222" t="s">
        <v>26</v>
      </c>
      <c r="I222" t="s">
        <v>18</v>
      </c>
    </row>
    <row r="223" spans="1:9" x14ac:dyDescent="0.55000000000000004">
      <c r="A223">
        <v>1222</v>
      </c>
      <c r="B223" t="s">
        <v>317</v>
      </c>
      <c r="C223" t="s">
        <v>20</v>
      </c>
      <c r="D223" t="s">
        <v>44</v>
      </c>
      <c r="E223">
        <v>2</v>
      </c>
      <c r="F223">
        <v>4518</v>
      </c>
      <c r="G223">
        <v>9036</v>
      </c>
      <c r="H223" t="s">
        <v>17</v>
      </c>
      <c r="I223" t="s">
        <v>18</v>
      </c>
    </row>
    <row r="224" spans="1:9" x14ac:dyDescent="0.55000000000000004">
      <c r="A224">
        <v>1223</v>
      </c>
      <c r="B224" t="s">
        <v>318</v>
      </c>
      <c r="C224" t="s">
        <v>180</v>
      </c>
      <c r="D224" t="s">
        <v>141</v>
      </c>
      <c r="E224">
        <v>4</v>
      </c>
      <c r="F224">
        <v>4292</v>
      </c>
      <c r="G224">
        <v>17168</v>
      </c>
      <c r="H224" t="s">
        <v>17</v>
      </c>
      <c r="I224" t="s">
        <v>13</v>
      </c>
    </row>
    <row r="225" spans="1:9" x14ac:dyDescent="0.55000000000000004">
      <c r="A225">
        <v>1224</v>
      </c>
      <c r="B225" t="s">
        <v>319</v>
      </c>
      <c r="C225" t="s">
        <v>162</v>
      </c>
      <c r="D225" t="s">
        <v>29</v>
      </c>
      <c r="E225">
        <v>5</v>
      </c>
      <c r="F225">
        <v>4253</v>
      </c>
      <c r="G225">
        <v>21265</v>
      </c>
      <c r="H225" t="s">
        <v>17</v>
      </c>
      <c r="I225" t="s">
        <v>13</v>
      </c>
    </row>
    <row r="226" spans="1:9" x14ac:dyDescent="0.55000000000000004">
      <c r="A226">
        <v>1225</v>
      </c>
      <c r="B226" t="s">
        <v>320</v>
      </c>
      <c r="C226" t="s">
        <v>50</v>
      </c>
      <c r="D226" t="s">
        <v>16</v>
      </c>
      <c r="E226">
        <v>4</v>
      </c>
      <c r="F226">
        <v>9269</v>
      </c>
      <c r="G226">
        <v>37076</v>
      </c>
      <c r="H226" t="s">
        <v>12</v>
      </c>
      <c r="I226" t="s">
        <v>55</v>
      </c>
    </row>
    <row r="227" spans="1:9" x14ac:dyDescent="0.55000000000000004">
      <c r="A227">
        <v>1226</v>
      </c>
      <c r="B227" t="s">
        <v>321</v>
      </c>
      <c r="C227" t="s">
        <v>31</v>
      </c>
      <c r="D227" t="s">
        <v>11</v>
      </c>
      <c r="E227">
        <v>1</v>
      </c>
      <c r="F227">
        <v>6805</v>
      </c>
      <c r="G227">
        <v>6805</v>
      </c>
      <c r="H227" t="s">
        <v>17</v>
      </c>
      <c r="I227" t="s">
        <v>55</v>
      </c>
    </row>
    <row r="228" spans="1:9" x14ac:dyDescent="0.55000000000000004">
      <c r="A228">
        <v>1227</v>
      </c>
      <c r="B228" t="s">
        <v>322</v>
      </c>
      <c r="C228" t="s">
        <v>120</v>
      </c>
      <c r="D228" t="s">
        <v>35</v>
      </c>
      <c r="E228">
        <v>1</v>
      </c>
      <c r="F228">
        <v>4827</v>
      </c>
      <c r="G228">
        <v>4827</v>
      </c>
      <c r="H228" t="s">
        <v>17</v>
      </c>
      <c r="I228" t="s">
        <v>18</v>
      </c>
    </row>
    <row r="229" spans="1:9" x14ac:dyDescent="0.55000000000000004">
      <c r="A229">
        <v>1228</v>
      </c>
      <c r="B229" t="s">
        <v>323</v>
      </c>
      <c r="C229" t="s">
        <v>151</v>
      </c>
      <c r="D229" t="s">
        <v>25</v>
      </c>
      <c r="E229">
        <v>3</v>
      </c>
      <c r="F229">
        <v>6057</v>
      </c>
      <c r="G229">
        <v>18171</v>
      </c>
      <c r="H229" t="s">
        <v>22</v>
      </c>
      <c r="I229" t="s">
        <v>13</v>
      </c>
    </row>
    <row r="230" spans="1:9" x14ac:dyDescent="0.55000000000000004">
      <c r="A230">
        <v>1229</v>
      </c>
      <c r="B230" t="s">
        <v>324</v>
      </c>
      <c r="C230" t="s">
        <v>133</v>
      </c>
      <c r="D230" t="s">
        <v>16</v>
      </c>
      <c r="E230">
        <v>3</v>
      </c>
      <c r="F230">
        <v>1583</v>
      </c>
      <c r="G230">
        <v>4749</v>
      </c>
      <c r="H230" t="s">
        <v>26</v>
      </c>
      <c r="I230" t="s">
        <v>13</v>
      </c>
    </row>
    <row r="231" spans="1:9" x14ac:dyDescent="0.55000000000000004">
      <c r="A231">
        <v>1230</v>
      </c>
      <c r="B231" t="s">
        <v>325</v>
      </c>
      <c r="C231" t="s">
        <v>63</v>
      </c>
      <c r="D231" t="s">
        <v>81</v>
      </c>
      <c r="E231">
        <v>4</v>
      </c>
      <c r="F231">
        <v>843</v>
      </c>
      <c r="G231">
        <v>3372</v>
      </c>
      <c r="H231" t="s">
        <v>22</v>
      </c>
      <c r="I231" t="s">
        <v>18</v>
      </c>
    </row>
    <row r="232" spans="1:9" x14ac:dyDescent="0.55000000000000004">
      <c r="A232">
        <v>1231</v>
      </c>
      <c r="B232" t="s">
        <v>326</v>
      </c>
      <c r="C232" t="s">
        <v>83</v>
      </c>
      <c r="D232" t="s">
        <v>145</v>
      </c>
      <c r="E232">
        <v>5</v>
      </c>
      <c r="F232">
        <v>5937</v>
      </c>
      <c r="G232">
        <v>29685</v>
      </c>
      <c r="H232" t="s">
        <v>12</v>
      </c>
      <c r="I232" t="s">
        <v>13</v>
      </c>
    </row>
    <row r="233" spans="1:9" x14ac:dyDescent="0.55000000000000004">
      <c r="A233">
        <v>1232</v>
      </c>
      <c r="B233" t="s">
        <v>327</v>
      </c>
      <c r="C233" t="s">
        <v>136</v>
      </c>
      <c r="D233" t="s">
        <v>51</v>
      </c>
      <c r="E233">
        <v>1</v>
      </c>
      <c r="F233">
        <v>8519</v>
      </c>
      <c r="G233">
        <v>8519</v>
      </c>
      <c r="H233" t="s">
        <v>12</v>
      </c>
      <c r="I233" t="s">
        <v>13</v>
      </c>
    </row>
    <row r="234" spans="1:9" x14ac:dyDescent="0.55000000000000004">
      <c r="A234">
        <v>1233</v>
      </c>
      <c r="B234" t="s">
        <v>328</v>
      </c>
      <c r="C234" t="s">
        <v>48</v>
      </c>
      <c r="D234" t="s">
        <v>39</v>
      </c>
      <c r="E234">
        <v>1</v>
      </c>
      <c r="F234">
        <v>1144</v>
      </c>
      <c r="G234">
        <v>1144</v>
      </c>
      <c r="H234" t="s">
        <v>12</v>
      </c>
      <c r="I234" t="s">
        <v>18</v>
      </c>
    </row>
    <row r="235" spans="1:9" x14ac:dyDescent="0.55000000000000004">
      <c r="A235">
        <v>1234</v>
      </c>
      <c r="B235" t="s">
        <v>329</v>
      </c>
      <c r="C235" t="s">
        <v>87</v>
      </c>
      <c r="D235" t="s">
        <v>16</v>
      </c>
      <c r="E235">
        <v>3</v>
      </c>
      <c r="F235">
        <v>6096</v>
      </c>
      <c r="G235">
        <v>18288</v>
      </c>
      <c r="H235" t="s">
        <v>22</v>
      </c>
      <c r="I235" t="s">
        <v>13</v>
      </c>
    </row>
    <row r="236" spans="1:9" x14ac:dyDescent="0.55000000000000004">
      <c r="A236">
        <v>1235</v>
      </c>
      <c r="B236" t="s">
        <v>330</v>
      </c>
      <c r="C236" t="s">
        <v>159</v>
      </c>
      <c r="D236" t="s">
        <v>11</v>
      </c>
      <c r="E236">
        <v>1</v>
      </c>
      <c r="F236">
        <v>4661</v>
      </c>
      <c r="G236">
        <v>4661</v>
      </c>
      <c r="H236" t="s">
        <v>22</v>
      </c>
      <c r="I236" t="s">
        <v>18</v>
      </c>
    </row>
    <row r="237" spans="1:9" x14ac:dyDescent="0.55000000000000004">
      <c r="A237">
        <v>1236</v>
      </c>
      <c r="B237" t="s">
        <v>331</v>
      </c>
      <c r="C237" t="s">
        <v>332</v>
      </c>
      <c r="D237" t="s">
        <v>59</v>
      </c>
      <c r="E237">
        <v>5</v>
      </c>
      <c r="F237">
        <v>5430</v>
      </c>
      <c r="G237">
        <v>27150</v>
      </c>
      <c r="H237" t="s">
        <v>17</v>
      </c>
      <c r="I237" t="s">
        <v>55</v>
      </c>
    </row>
    <row r="238" spans="1:9" x14ac:dyDescent="0.55000000000000004">
      <c r="A238">
        <v>1237</v>
      </c>
      <c r="B238" t="s">
        <v>333</v>
      </c>
      <c r="C238" t="s">
        <v>101</v>
      </c>
      <c r="D238" t="s">
        <v>25</v>
      </c>
      <c r="E238">
        <v>4</v>
      </c>
      <c r="F238">
        <v>3916</v>
      </c>
      <c r="G238">
        <v>15664</v>
      </c>
      <c r="H238" t="s">
        <v>12</v>
      </c>
      <c r="I238" t="s">
        <v>18</v>
      </c>
    </row>
    <row r="239" spans="1:9" x14ac:dyDescent="0.55000000000000004">
      <c r="A239">
        <v>1238</v>
      </c>
      <c r="B239" t="s">
        <v>334</v>
      </c>
      <c r="C239" t="s">
        <v>28</v>
      </c>
      <c r="D239" t="s">
        <v>109</v>
      </c>
      <c r="E239">
        <v>2</v>
      </c>
      <c r="F239">
        <v>7467</v>
      </c>
      <c r="G239">
        <v>14934</v>
      </c>
      <c r="H239" t="s">
        <v>17</v>
      </c>
      <c r="I239" t="s">
        <v>55</v>
      </c>
    </row>
    <row r="240" spans="1:9" x14ac:dyDescent="0.55000000000000004">
      <c r="A240">
        <v>1239</v>
      </c>
      <c r="B240" t="s">
        <v>335</v>
      </c>
      <c r="C240" t="s">
        <v>143</v>
      </c>
      <c r="D240" t="s">
        <v>32</v>
      </c>
      <c r="E240">
        <v>1</v>
      </c>
      <c r="F240">
        <v>1249</v>
      </c>
      <c r="G240">
        <v>1249</v>
      </c>
      <c r="H240" t="s">
        <v>26</v>
      </c>
      <c r="I240" t="s">
        <v>55</v>
      </c>
    </row>
    <row r="241" spans="1:9" x14ac:dyDescent="0.55000000000000004">
      <c r="A241">
        <v>1240</v>
      </c>
      <c r="B241" t="s">
        <v>336</v>
      </c>
      <c r="C241" t="s">
        <v>54</v>
      </c>
      <c r="D241" t="s">
        <v>16</v>
      </c>
      <c r="E241">
        <v>2</v>
      </c>
      <c r="F241">
        <v>7905</v>
      </c>
      <c r="G241">
        <v>15810</v>
      </c>
      <c r="H241" t="s">
        <v>22</v>
      </c>
      <c r="I241" t="s">
        <v>18</v>
      </c>
    </row>
    <row r="242" spans="1:9" x14ac:dyDescent="0.55000000000000004">
      <c r="A242">
        <v>1241</v>
      </c>
      <c r="B242" t="s">
        <v>337</v>
      </c>
      <c r="C242" t="s">
        <v>34</v>
      </c>
      <c r="D242" t="s">
        <v>35</v>
      </c>
      <c r="E242">
        <v>5</v>
      </c>
      <c r="F242">
        <v>9443</v>
      </c>
      <c r="G242">
        <v>47215</v>
      </c>
      <c r="H242" t="s">
        <v>26</v>
      </c>
      <c r="I242" t="s">
        <v>55</v>
      </c>
    </row>
    <row r="243" spans="1:9" x14ac:dyDescent="0.55000000000000004">
      <c r="A243">
        <v>1242</v>
      </c>
      <c r="B243" t="s">
        <v>338</v>
      </c>
      <c r="C243" t="s">
        <v>10</v>
      </c>
      <c r="D243" t="s">
        <v>81</v>
      </c>
      <c r="E243">
        <v>1</v>
      </c>
      <c r="F243">
        <v>7209</v>
      </c>
      <c r="G243">
        <v>7209</v>
      </c>
      <c r="H243" t="s">
        <v>22</v>
      </c>
      <c r="I243" t="s">
        <v>55</v>
      </c>
    </row>
    <row r="244" spans="1:9" x14ac:dyDescent="0.55000000000000004">
      <c r="A244">
        <v>1243</v>
      </c>
      <c r="B244" t="s">
        <v>339</v>
      </c>
      <c r="C244" t="s">
        <v>89</v>
      </c>
      <c r="D244" t="s">
        <v>39</v>
      </c>
      <c r="E244">
        <v>3</v>
      </c>
      <c r="F244">
        <v>2433</v>
      </c>
      <c r="G244">
        <v>7299</v>
      </c>
      <c r="H244" t="s">
        <v>17</v>
      </c>
      <c r="I244" t="s">
        <v>18</v>
      </c>
    </row>
    <row r="245" spans="1:9" x14ac:dyDescent="0.55000000000000004">
      <c r="A245">
        <v>1244</v>
      </c>
      <c r="B245" t="s">
        <v>340</v>
      </c>
      <c r="C245" t="s">
        <v>37</v>
      </c>
      <c r="D245" t="s">
        <v>109</v>
      </c>
      <c r="E245">
        <v>3</v>
      </c>
      <c r="F245">
        <v>2502</v>
      </c>
      <c r="G245">
        <v>7506</v>
      </c>
      <c r="H245" t="s">
        <v>26</v>
      </c>
      <c r="I245" t="s">
        <v>55</v>
      </c>
    </row>
    <row r="246" spans="1:9" x14ac:dyDescent="0.55000000000000004">
      <c r="A246">
        <v>1245</v>
      </c>
      <c r="B246" t="s">
        <v>341</v>
      </c>
      <c r="C246" t="s">
        <v>277</v>
      </c>
      <c r="D246" t="s">
        <v>35</v>
      </c>
      <c r="E246">
        <v>1</v>
      </c>
      <c r="F246">
        <v>3892</v>
      </c>
      <c r="G246">
        <v>3892</v>
      </c>
      <c r="H246" t="s">
        <v>12</v>
      </c>
      <c r="I246" t="s">
        <v>18</v>
      </c>
    </row>
    <row r="247" spans="1:9" x14ac:dyDescent="0.55000000000000004">
      <c r="A247">
        <v>1246</v>
      </c>
      <c r="B247" t="s">
        <v>342</v>
      </c>
      <c r="C247" t="s">
        <v>54</v>
      </c>
      <c r="D247" t="s">
        <v>32</v>
      </c>
      <c r="E247">
        <v>1</v>
      </c>
      <c r="F247">
        <v>5209</v>
      </c>
      <c r="G247">
        <v>5209</v>
      </c>
      <c r="H247" t="s">
        <v>17</v>
      </c>
      <c r="I247" t="s">
        <v>18</v>
      </c>
    </row>
    <row r="248" spans="1:9" x14ac:dyDescent="0.55000000000000004">
      <c r="A248">
        <v>1247</v>
      </c>
      <c r="B248" t="s">
        <v>343</v>
      </c>
      <c r="C248" t="s">
        <v>79</v>
      </c>
      <c r="D248" t="s">
        <v>81</v>
      </c>
      <c r="E248">
        <v>3</v>
      </c>
      <c r="F248">
        <v>3379</v>
      </c>
      <c r="G248">
        <v>10137</v>
      </c>
      <c r="H248" t="s">
        <v>17</v>
      </c>
      <c r="I248" t="s">
        <v>55</v>
      </c>
    </row>
    <row r="249" spans="1:9" x14ac:dyDescent="0.55000000000000004">
      <c r="A249">
        <v>1248</v>
      </c>
      <c r="B249" t="s">
        <v>344</v>
      </c>
      <c r="C249" t="s">
        <v>41</v>
      </c>
      <c r="D249" t="s">
        <v>21</v>
      </c>
      <c r="E249">
        <v>4</v>
      </c>
      <c r="F249">
        <v>1713</v>
      </c>
      <c r="G249">
        <v>6852</v>
      </c>
      <c r="H249" t="s">
        <v>26</v>
      </c>
      <c r="I249" t="s">
        <v>55</v>
      </c>
    </row>
    <row r="250" spans="1:9" x14ac:dyDescent="0.55000000000000004">
      <c r="A250">
        <v>1249</v>
      </c>
      <c r="B250" t="s">
        <v>345</v>
      </c>
      <c r="C250" t="s">
        <v>20</v>
      </c>
      <c r="D250" t="s">
        <v>59</v>
      </c>
      <c r="E250">
        <v>2</v>
      </c>
      <c r="F250">
        <v>8723</v>
      </c>
      <c r="G250">
        <v>17446</v>
      </c>
      <c r="H250" t="s">
        <v>26</v>
      </c>
      <c r="I250" t="s">
        <v>55</v>
      </c>
    </row>
    <row r="251" spans="1:9" x14ac:dyDescent="0.55000000000000004">
      <c r="A251">
        <v>1250</v>
      </c>
      <c r="B251" t="s">
        <v>346</v>
      </c>
      <c r="C251" t="s">
        <v>111</v>
      </c>
      <c r="D251" t="s">
        <v>11</v>
      </c>
      <c r="E251">
        <v>3</v>
      </c>
      <c r="F251">
        <v>7954</v>
      </c>
      <c r="G251">
        <v>23862</v>
      </c>
      <c r="H251" t="s">
        <v>26</v>
      </c>
      <c r="I251"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zoomScaleNormal="100" workbookViewId="0">
      <selection activeCell="E14" sqref="E14"/>
    </sheetView>
  </sheetViews>
  <sheetFormatPr defaultRowHeight="14.4" x14ac:dyDescent="0.55000000000000004"/>
  <cols>
    <col min="1" max="1" width="58.83984375" bestFit="1" customWidth="1"/>
    <col min="2" max="2" width="53.7890625" bestFit="1" customWidth="1"/>
    <col min="3" max="3" width="74.83984375" bestFit="1" customWidth="1"/>
    <col min="4" max="4" width="76.3125" bestFit="1" customWidth="1"/>
    <col min="5" max="5" width="44.83984375" bestFit="1" customWidth="1"/>
  </cols>
  <sheetData>
    <row r="1" spans="1:5" x14ac:dyDescent="0.55000000000000004">
      <c r="A1" s="1" t="s">
        <v>426</v>
      </c>
      <c r="B1" t="s">
        <v>376</v>
      </c>
      <c r="C1" t="s">
        <v>377</v>
      </c>
      <c r="D1" t="s">
        <v>427</v>
      </c>
      <c r="E1" t="s">
        <v>383</v>
      </c>
    </row>
    <row r="2" spans="1:5" ht="43.2" x14ac:dyDescent="0.55000000000000004">
      <c r="A2" t="s">
        <v>363</v>
      </c>
      <c r="B2" s="10" t="s">
        <v>403</v>
      </c>
      <c r="C2" s="10" t="s">
        <v>400</v>
      </c>
      <c r="D2" s="10" t="s">
        <v>413</v>
      </c>
      <c r="E2" s="10" t="s">
        <v>458</v>
      </c>
    </row>
    <row r="3" spans="1:5" ht="28.8" x14ac:dyDescent="0.55000000000000004">
      <c r="A3" t="s">
        <v>364</v>
      </c>
      <c r="B3" s="10" t="s">
        <v>404</v>
      </c>
      <c r="C3" t="s">
        <v>378</v>
      </c>
      <c r="D3" s="10" t="s">
        <v>414</v>
      </c>
      <c r="E3" t="s">
        <v>459</v>
      </c>
    </row>
    <row r="4" spans="1:5" ht="28.8" x14ac:dyDescent="0.55000000000000004">
      <c r="A4" t="s">
        <v>365</v>
      </c>
      <c r="B4" t="s">
        <v>380</v>
      </c>
      <c r="C4" t="s">
        <v>379</v>
      </c>
      <c r="D4" s="10" t="s">
        <v>415</v>
      </c>
      <c r="E4" t="s">
        <v>460</v>
      </c>
    </row>
    <row r="5" spans="1:5" ht="28.8" x14ac:dyDescent="0.55000000000000004">
      <c r="A5" t="s">
        <v>366</v>
      </c>
      <c r="B5" s="10" t="s">
        <v>405</v>
      </c>
      <c r="C5" t="s">
        <v>457</v>
      </c>
      <c r="D5" s="10" t="s">
        <v>416</v>
      </c>
      <c r="E5" s="10" t="s">
        <v>461</v>
      </c>
    </row>
    <row r="6" spans="1:5" ht="28.8" x14ac:dyDescent="0.55000000000000004">
      <c r="A6" t="s">
        <v>367</v>
      </c>
      <c r="B6" s="10" t="s">
        <v>406</v>
      </c>
      <c r="C6" t="s">
        <v>381</v>
      </c>
      <c r="D6" s="10" t="s">
        <v>417</v>
      </c>
      <c r="E6" t="s">
        <v>462</v>
      </c>
    </row>
    <row r="7" spans="1:5" ht="28.8" x14ac:dyDescent="0.55000000000000004">
      <c r="A7" t="s">
        <v>368</v>
      </c>
      <c r="B7" s="10" t="s">
        <v>407</v>
      </c>
      <c r="C7" t="s">
        <v>382</v>
      </c>
      <c r="D7" s="10" t="s">
        <v>418</v>
      </c>
      <c r="E7" s="10" t="s">
        <v>424</v>
      </c>
    </row>
    <row r="8" spans="1:5" ht="28.8" x14ac:dyDescent="0.55000000000000004">
      <c r="A8" t="s">
        <v>369</v>
      </c>
      <c r="B8" s="10" t="s">
        <v>408</v>
      </c>
      <c r="C8" t="s">
        <v>384</v>
      </c>
      <c r="D8" s="10" t="s">
        <v>419</v>
      </c>
      <c r="E8" s="10" t="s">
        <v>463</v>
      </c>
    </row>
    <row r="9" spans="1:5" ht="43.2" x14ac:dyDescent="0.55000000000000004">
      <c r="A9" t="s">
        <v>370</v>
      </c>
      <c r="B9" s="10" t="s">
        <v>409</v>
      </c>
      <c r="C9" s="10" t="s">
        <v>399</v>
      </c>
      <c r="D9" s="10" t="s">
        <v>420</v>
      </c>
      <c r="E9" s="10" t="s">
        <v>425</v>
      </c>
    </row>
    <row r="10" spans="1:5" ht="43.2" x14ac:dyDescent="0.55000000000000004">
      <c r="A10" t="s">
        <v>371</v>
      </c>
      <c r="B10" s="10" t="s">
        <v>410</v>
      </c>
      <c r="C10" s="10" t="s">
        <v>401</v>
      </c>
      <c r="D10" s="10" t="s">
        <v>421</v>
      </c>
      <c r="E10" s="10" t="s">
        <v>463</v>
      </c>
    </row>
    <row r="11" spans="1:5" ht="28.8" x14ac:dyDescent="0.55000000000000004">
      <c r="A11" t="s">
        <v>372</v>
      </c>
      <c r="B11" s="10" t="s">
        <v>411</v>
      </c>
      <c r="C11" s="10" t="s">
        <v>402</v>
      </c>
      <c r="D11" s="10" t="s">
        <v>422</v>
      </c>
      <c r="E11" s="10" t="s">
        <v>464</v>
      </c>
    </row>
    <row r="12" spans="1:5" ht="28.8" x14ac:dyDescent="0.55000000000000004">
      <c r="A12" t="s">
        <v>373</v>
      </c>
      <c r="B12" s="10" t="s">
        <v>412</v>
      </c>
      <c r="C12" t="s">
        <v>391</v>
      </c>
      <c r="D12" s="10" t="s">
        <v>423</v>
      </c>
      <c r="E12" t="s">
        <v>465</v>
      </c>
    </row>
    <row r="13" spans="1:5" ht="28.8" x14ac:dyDescent="0.55000000000000004">
      <c r="A13" t="s">
        <v>374</v>
      </c>
      <c r="B13" s="10" t="s">
        <v>451</v>
      </c>
      <c r="C13" s="10" t="s">
        <v>453</v>
      </c>
      <c r="D13" s="10" t="s">
        <v>454</v>
      </c>
      <c r="E13" t="s">
        <v>466</v>
      </c>
    </row>
    <row r="14" spans="1:5" ht="28.8" x14ac:dyDescent="0.55000000000000004">
      <c r="A14" t="s">
        <v>375</v>
      </c>
      <c r="B14" s="10" t="s">
        <v>452</v>
      </c>
      <c r="C14" s="10" t="s">
        <v>455</v>
      </c>
      <c r="D14" s="10" t="s">
        <v>456</v>
      </c>
      <c r="E14" t="s">
        <v>467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E337-F8B2-4427-9BE2-6742C970C53A}">
  <dimension ref="A1:O252"/>
  <sheetViews>
    <sheetView topLeftCell="B1" workbookViewId="0">
      <selection activeCell="H11" sqref="H11"/>
    </sheetView>
  </sheetViews>
  <sheetFormatPr defaultRowHeight="14.4" x14ac:dyDescent="0.55000000000000004"/>
  <cols>
    <col min="1" max="1" width="10" customWidth="1"/>
    <col min="2" max="2" width="13.1015625" customWidth="1"/>
    <col min="3" max="3" width="12.05078125" style="5" customWidth="1"/>
    <col min="4" max="4" width="12" customWidth="1"/>
    <col min="5" max="5" width="10" style="4" customWidth="1"/>
    <col min="6" max="6" width="12" style="3" customWidth="1"/>
    <col min="7" max="7" width="15" style="3" customWidth="1"/>
    <col min="8" max="8" width="9.05078125" customWidth="1"/>
    <col min="9" max="9" width="12" customWidth="1"/>
    <col min="10" max="10" width="15.89453125" bestFit="1" customWidth="1"/>
    <col min="11" max="11" width="12.5234375" bestFit="1" customWidth="1"/>
    <col min="12" max="12" width="18.734375" bestFit="1" customWidth="1"/>
    <col min="13" max="13" width="16.9453125" bestFit="1" customWidth="1"/>
    <col min="14" max="14" width="18.578125" bestFit="1" customWidth="1"/>
  </cols>
  <sheetData>
    <row r="1" spans="1:15" x14ac:dyDescent="0.55000000000000004">
      <c r="A1" s="1" t="s">
        <v>0</v>
      </c>
      <c r="B1" s="1" t="s">
        <v>1</v>
      </c>
      <c r="C1" s="6" t="s">
        <v>2</v>
      </c>
      <c r="D1" s="1" t="s">
        <v>3</v>
      </c>
      <c r="E1" s="7" t="s">
        <v>4</v>
      </c>
      <c r="F1" s="2" t="s">
        <v>5</v>
      </c>
      <c r="G1" s="2" t="s">
        <v>6</v>
      </c>
      <c r="H1" s="1" t="s">
        <v>7</v>
      </c>
      <c r="I1" s="1" t="s">
        <v>8</v>
      </c>
      <c r="J1" s="1" t="s">
        <v>385</v>
      </c>
      <c r="K1" s="1" t="s">
        <v>386</v>
      </c>
      <c r="L1" s="1" t="s">
        <v>389</v>
      </c>
      <c r="M1" s="1" t="s">
        <v>388</v>
      </c>
      <c r="N1" s="1" t="s">
        <v>387</v>
      </c>
      <c r="O1" s="1" t="s">
        <v>390</v>
      </c>
    </row>
    <row r="2" spans="1:15" x14ac:dyDescent="0.55000000000000004">
      <c r="A2">
        <v>1001</v>
      </c>
      <c r="B2" t="s">
        <v>9</v>
      </c>
      <c r="C2" s="5" t="s">
        <v>10</v>
      </c>
      <c r="D2" t="s">
        <v>11</v>
      </c>
      <c r="E2" s="4">
        <v>3</v>
      </c>
      <c r="F2" s="3">
        <v>9325</v>
      </c>
      <c r="G2" s="3">
        <v>27975</v>
      </c>
      <c r="H2" t="s">
        <v>12</v>
      </c>
      <c r="I2" t="s">
        <v>13</v>
      </c>
      <c r="J2" t="str">
        <f t="shared" ref="J2:J65" si="0">IF(G2&lt;&gt;(E2*F2), "Mismatch", "Ok")</f>
        <v>Ok</v>
      </c>
      <c r="K2" t="b">
        <f t="shared" ref="K2:K65" si="1">ISNUMBER(C2)</f>
        <v>0</v>
      </c>
      <c r="L2" t="str">
        <f t="shared" ref="L2:L65" si="2">_xlfn.XLOOKUP(
    UPPER(SUBSTITUTE(TRIM(H2),".","")),
    A:A,
    B:B,
    UPPER(SUBSTITUTE(TRIM(H2),".",""))
)</f>
        <v>INDIA</v>
      </c>
      <c r="M2" t="str">
        <f t="shared" ref="M2:M65" si="3">IF(OR(I2="Completed", I2="Pending", I2="Cancelled"), "Valid", "Invalid")</f>
        <v>Valid</v>
      </c>
      <c r="N2" t="str">
        <f>_xlfn.XLOOKUP(D2, Product_Master!A:A, Product_Master!A:A, "Invalid")</f>
        <v>P05</v>
      </c>
      <c r="O2" t="str">
        <f>IF(OR(J2="Mismatch", K2="False", M2="Invalid", N2="Invalid"), "Problem", "Clean")</f>
        <v>Clean</v>
      </c>
    </row>
    <row r="3" spans="1:15" x14ac:dyDescent="0.55000000000000004">
      <c r="A3">
        <v>1002</v>
      </c>
      <c r="B3" t="s">
        <v>14</v>
      </c>
      <c r="C3" s="5" t="s">
        <v>15</v>
      </c>
      <c r="D3" t="s">
        <v>16</v>
      </c>
      <c r="E3" s="4">
        <v>4</v>
      </c>
      <c r="F3" s="3">
        <v>5029</v>
      </c>
      <c r="G3" s="3">
        <v>20116</v>
      </c>
      <c r="H3" t="s">
        <v>17</v>
      </c>
      <c r="I3" t="s">
        <v>18</v>
      </c>
      <c r="J3" t="str">
        <f t="shared" si="0"/>
        <v>Ok</v>
      </c>
      <c r="K3" t="b">
        <f t="shared" si="1"/>
        <v>0</v>
      </c>
      <c r="L3" t="str">
        <f t="shared" si="2"/>
        <v>CANADA</v>
      </c>
      <c r="M3" t="str">
        <f t="shared" si="3"/>
        <v>Valid</v>
      </c>
      <c r="N3" t="str">
        <f>_xlfn.XLOOKUP(D3, Product_Master!A:A, Product_Master!A:A, "Invalid")</f>
        <v>P07</v>
      </c>
      <c r="O3" t="str">
        <f t="shared" ref="O3:O4" si="4">IF(OR(J3="Mismatch", K3="False", M3="Invalid", N3="Invalid"), "Problem", "Clean")</f>
        <v>Clean</v>
      </c>
    </row>
    <row r="4" spans="1:15" x14ac:dyDescent="0.55000000000000004">
      <c r="A4">
        <v>1003</v>
      </c>
      <c r="B4" t="s">
        <v>19</v>
      </c>
      <c r="C4" s="5" t="s">
        <v>20</v>
      </c>
      <c r="D4" t="s">
        <v>21</v>
      </c>
      <c r="E4" s="4">
        <v>3</v>
      </c>
      <c r="F4" s="3">
        <v>2919</v>
      </c>
      <c r="G4" s="3">
        <v>8757</v>
      </c>
      <c r="H4" t="s">
        <v>22</v>
      </c>
      <c r="I4" t="s">
        <v>18</v>
      </c>
      <c r="J4" t="str">
        <f t="shared" si="0"/>
        <v>Ok</v>
      </c>
      <c r="K4" t="b">
        <f t="shared" si="1"/>
        <v>0</v>
      </c>
      <c r="L4" t="str">
        <f t="shared" si="2"/>
        <v>USA</v>
      </c>
      <c r="M4" t="str">
        <f t="shared" si="3"/>
        <v>Valid</v>
      </c>
      <c r="N4" t="str">
        <f>_xlfn.XLOOKUP(D4, Product_Master!A:A, Product_Master!A:A, "Invalid")</f>
        <v>P15</v>
      </c>
      <c r="O4" t="str">
        <f t="shared" si="4"/>
        <v>Clean</v>
      </c>
    </row>
    <row r="5" spans="1:15" x14ac:dyDescent="0.55000000000000004">
      <c r="A5">
        <v>1004</v>
      </c>
      <c r="B5" t="s">
        <v>23</v>
      </c>
      <c r="C5" s="5" t="s">
        <v>24</v>
      </c>
      <c r="D5" t="s">
        <v>25</v>
      </c>
      <c r="E5" s="4">
        <v>3</v>
      </c>
      <c r="F5" s="3">
        <v>6250</v>
      </c>
      <c r="G5" s="3">
        <v>18750</v>
      </c>
      <c r="H5" t="s">
        <v>26</v>
      </c>
      <c r="I5" t="s">
        <v>18</v>
      </c>
      <c r="J5" t="str">
        <f t="shared" si="0"/>
        <v>Ok</v>
      </c>
      <c r="K5" t="b">
        <f t="shared" si="1"/>
        <v>0</v>
      </c>
      <c r="L5" t="str">
        <f t="shared" si="2"/>
        <v>UK</v>
      </c>
      <c r="M5" t="str">
        <f t="shared" si="3"/>
        <v>Valid</v>
      </c>
      <c r="N5" t="str">
        <f>_xlfn.XLOOKUP(D5, Product_Master!A:A, Product_Master!A:A, "Invalid")</f>
        <v>P09</v>
      </c>
      <c r="O5" t="str">
        <f>IF(OR(J5="Mismatch", K5="False", M5="Invalid", N5="Invalid"), "Problem", "Clean")</f>
        <v>Clean</v>
      </c>
    </row>
    <row r="6" spans="1:15" x14ac:dyDescent="0.55000000000000004">
      <c r="A6">
        <v>1005</v>
      </c>
      <c r="B6" t="s">
        <v>27</v>
      </c>
      <c r="C6" s="5">
        <v>45326</v>
      </c>
      <c r="D6" t="s">
        <v>29</v>
      </c>
      <c r="E6" s="4">
        <v>3</v>
      </c>
      <c r="F6" s="3">
        <v>895</v>
      </c>
      <c r="G6" s="3">
        <v>2685</v>
      </c>
      <c r="H6" t="s">
        <v>22</v>
      </c>
      <c r="I6" t="s">
        <v>13</v>
      </c>
      <c r="J6" t="str">
        <f t="shared" si="0"/>
        <v>Ok</v>
      </c>
      <c r="K6" t="b">
        <f t="shared" si="1"/>
        <v>1</v>
      </c>
      <c r="L6" t="str">
        <f t="shared" si="2"/>
        <v>USA</v>
      </c>
      <c r="M6" t="str">
        <f t="shared" si="3"/>
        <v>Valid</v>
      </c>
      <c r="N6" t="str">
        <f>_xlfn.XLOOKUP(D6, Product_Master!A:A, Product_Master!A:A, "Invalid")</f>
        <v>P13</v>
      </c>
      <c r="O6" t="str">
        <f>IF(OR(J6="Mismatch", K6="False", M6="Invalid", N6="Invalid"), "Problem", "Clean")</f>
        <v>Clean</v>
      </c>
    </row>
    <row r="7" spans="1:15" x14ac:dyDescent="0.55000000000000004">
      <c r="A7">
        <v>1006</v>
      </c>
      <c r="B7" t="s">
        <v>30</v>
      </c>
      <c r="C7" s="5" t="s">
        <v>31</v>
      </c>
      <c r="D7" t="s">
        <v>32</v>
      </c>
      <c r="E7" s="4">
        <v>1</v>
      </c>
      <c r="F7" s="3">
        <v>9361</v>
      </c>
      <c r="G7" s="3">
        <v>9361</v>
      </c>
      <c r="H7" t="s">
        <v>22</v>
      </c>
      <c r="I7" t="s">
        <v>18</v>
      </c>
      <c r="J7" t="str">
        <f t="shared" si="0"/>
        <v>Ok</v>
      </c>
      <c r="K7" t="b">
        <f t="shared" si="1"/>
        <v>0</v>
      </c>
      <c r="L7" t="str">
        <f t="shared" si="2"/>
        <v>USA</v>
      </c>
      <c r="M7" t="str">
        <f t="shared" si="3"/>
        <v>Valid</v>
      </c>
      <c r="N7" t="str">
        <f>_xlfn.XLOOKUP(D7, Product_Master!A:A, Product_Master!A:A, "Invalid")</f>
        <v>P04</v>
      </c>
      <c r="O7" t="str">
        <f t="shared" ref="O7:O70" si="5">IF(OR(J7="Mismatch", K7="False", M7="Invalid", N7="Invalid"), "Problem", "Clean")</f>
        <v>Clean</v>
      </c>
    </row>
    <row r="8" spans="1:15" x14ac:dyDescent="0.55000000000000004">
      <c r="A8">
        <v>1007</v>
      </c>
      <c r="B8" t="s">
        <v>33</v>
      </c>
      <c r="C8" s="5" t="s">
        <v>34</v>
      </c>
      <c r="D8" t="s">
        <v>35</v>
      </c>
      <c r="E8" s="4">
        <v>1</v>
      </c>
      <c r="F8" s="3">
        <v>2619</v>
      </c>
      <c r="G8" s="3">
        <v>2619</v>
      </c>
      <c r="H8" t="s">
        <v>12</v>
      </c>
      <c r="I8" t="s">
        <v>13</v>
      </c>
      <c r="J8" t="str">
        <f t="shared" si="0"/>
        <v>Ok</v>
      </c>
      <c r="K8" t="b">
        <f t="shared" si="1"/>
        <v>0</v>
      </c>
      <c r="L8" t="str">
        <f t="shared" si="2"/>
        <v>INDIA</v>
      </c>
      <c r="M8" t="str">
        <f t="shared" si="3"/>
        <v>Valid</v>
      </c>
      <c r="N8" t="str">
        <f>_xlfn.XLOOKUP(D8, Product_Master!A:A, Product_Master!A:A, "Invalid")</f>
        <v>P10</v>
      </c>
      <c r="O8" t="str">
        <f t="shared" si="5"/>
        <v>Clean</v>
      </c>
    </row>
    <row r="9" spans="1:15" x14ac:dyDescent="0.55000000000000004">
      <c r="A9">
        <v>1008</v>
      </c>
      <c r="B9" t="s">
        <v>36</v>
      </c>
      <c r="C9" s="5" t="s">
        <v>37</v>
      </c>
      <c r="D9" t="s">
        <v>29</v>
      </c>
      <c r="E9" s="4">
        <v>4</v>
      </c>
      <c r="F9" s="3">
        <v>1067</v>
      </c>
      <c r="G9" s="3">
        <v>4268</v>
      </c>
      <c r="H9" t="s">
        <v>22</v>
      </c>
      <c r="I9" t="s">
        <v>18</v>
      </c>
      <c r="J9" t="str">
        <f t="shared" si="0"/>
        <v>Ok</v>
      </c>
      <c r="K9" t="b">
        <f t="shared" si="1"/>
        <v>0</v>
      </c>
      <c r="L9" t="str">
        <f t="shared" si="2"/>
        <v>USA</v>
      </c>
      <c r="M9" t="str">
        <f t="shared" si="3"/>
        <v>Valid</v>
      </c>
      <c r="N9" t="str">
        <f>_xlfn.XLOOKUP(D9, Product_Master!A:A, Product_Master!A:A, "Invalid")</f>
        <v>P13</v>
      </c>
      <c r="O9" t="str">
        <f t="shared" si="5"/>
        <v>Clean</v>
      </c>
    </row>
    <row r="10" spans="1:15" x14ac:dyDescent="0.55000000000000004">
      <c r="A10">
        <v>1009</v>
      </c>
      <c r="B10" t="s">
        <v>38</v>
      </c>
      <c r="C10" s="5" t="s">
        <v>34</v>
      </c>
      <c r="D10" t="s">
        <v>39</v>
      </c>
      <c r="E10" s="4">
        <v>3</v>
      </c>
      <c r="F10" s="3">
        <v>8351</v>
      </c>
      <c r="G10" s="3">
        <v>25053</v>
      </c>
      <c r="H10" t="s">
        <v>12</v>
      </c>
      <c r="I10" t="s">
        <v>18</v>
      </c>
      <c r="J10" t="str">
        <f t="shared" si="0"/>
        <v>Ok</v>
      </c>
      <c r="K10" t="b">
        <f t="shared" si="1"/>
        <v>0</v>
      </c>
      <c r="L10" t="str">
        <f t="shared" si="2"/>
        <v>INDIA</v>
      </c>
      <c r="M10" t="str">
        <f t="shared" si="3"/>
        <v>Valid</v>
      </c>
      <c r="N10" t="str">
        <f>_xlfn.XLOOKUP(D10, Product_Master!A:A, Product_Master!A:A, "Invalid")</f>
        <v>P12</v>
      </c>
      <c r="O10" t="str">
        <f t="shared" si="5"/>
        <v>Clean</v>
      </c>
    </row>
    <row r="11" spans="1:15" x14ac:dyDescent="0.55000000000000004">
      <c r="A11">
        <v>1010</v>
      </c>
      <c r="B11" t="s">
        <v>40</v>
      </c>
      <c r="C11" s="5" t="s">
        <v>41</v>
      </c>
      <c r="D11" t="s">
        <v>16</v>
      </c>
      <c r="E11" s="4">
        <v>5</v>
      </c>
      <c r="F11" s="3">
        <v>1265</v>
      </c>
      <c r="G11" s="3">
        <v>6325</v>
      </c>
      <c r="H11" t="s">
        <v>17</v>
      </c>
      <c r="I11" t="s">
        <v>13</v>
      </c>
      <c r="J11" t="str">
        <f t="shared" si="0"/>
        <v>Ok</v>
      </c>
      <c r="K11" t="b">
        <f t="shared" si="1"/>
        <v>0</v>
      </c>
      <c r="L11" t="str">
        <f t="shared" si="2"/>
        <v>CANADA</v>
      </c>
      <c r="M11" t="str">
        <f t="shared" si="3"/>
        <v>Valid</v>
      </c>
      <c r="N11" t="str">
        <f>_xlfn.XLOOKUP(D11, Product_Master!A:A, Product_Master!A:A, "Invalid")</f>
        <v>P07</v>
      </c>
      <c r="O11" t="str">
        <f t="shared" si="5"/>
        <v>Clean</v>
      </c>
    </row>
    <row r="12" spans="1:15" x14ac:dyDescent="0.55000000000000004">
      <c r="A12">
        <v>1006</v>
      </c>
      <c r="B12" t="s">
        <v>42</v>
      </c>
      <c r="C12" s="5" t="s">
        <v>43</v>
      </c>
      <c r="D12" t="s">
        <v>44</v>
      </c>
      <c r="E12" s="4">
        <v>5</v>
      </c>
      <c r="F12" s="3">
        <v>3635</v>
      </c>
      <c r="G12" s="3">
        <v>18175</v>
      </c>
      <c r="H12" t="s">
        <v>17</v>
      </c>
      <c r="I12" t="s">
        <v>18</v>
      </c>
      <c r="J12" t="str">
        <f t="shared" si="0"/>
        <v>Ok</v>
      </c>
      <c r="K12" t="b">
        <f t="shared" si="1"/>
        <v>0</v>
      </c>
      <c r="L12" t="str">
        <f t="shared" si="2"/>
        <v>CANADA</v>
      </c>
      <c r="M12" t="str">
        <f t="shared" si="3"/>
        <v>Valid</v>
      </c>
      <c r="N12" t="str">
        <f>_xlfn.XLOOKUP(D12, Product_Master!A:A, Product_Master!A:A, "Invalid")</f>
        <v>P11</v>
      </c>
      <c r="O12" t="str">
        <f t="shared" si="5"/>
        <v>Clean</v>
      </c>
    </row>
    <row r="13" spans="1:15" x14ac:dyDescent="0.55000000000000004">
      <c r="A13">
        <v>1012</v>
      </c>
      <c r="B13" t="s">
        <v>45</v>
      </c>
      <c r="C13" s="5" t="s">
        <v>46</v>
      </c>
      <c r="D13" t="s">
        <v>35</v>
      </c>
      <c r="E13" s="4">
        <v>4</v>
      </c>
      <c r="F13" s="3">
        <v>9598</v>
      </c>
      <c r="G13" s="3">
        <v>38392</v>
      </c>
      <c r="H13" t="s">
        <v>12</v>
      </c>
      <c r="I13" t="s">
        <v>18</v>
      </c>
      <c r="J13" t="str">
        <f t="shared" si="0"/>
        <v>Ok</v>
      </c>
      <c r="K13" t="b">
        <f t="shared" si="1"/>
        <v>0</v>
      </c>
      <c r="L13" t="str">
        <f t="shared" si="2"/>
        <v>INDIA</v>
      </c>
      <c r="M13" t="str">
        <f t="shared" si="3"/>
        <v>Valid</v>
      </c>
      <c r="N13" t="str">
        <f>_xlfn.XLOOKUP(D13, Product_Master!A:A, Product_Master!A:A, "Invalid")</f>
        <v>P10</v>
      </c>
      <c r="O13" t="str">
        <f t="shared" si="5"/>
        <v>Clean</v>
      </c>
    </row>
    <row r="14" spans="1:15" x14ac:dyDescent="0.55000000000000004">
      <c r="A14">
        <v>1013</v>
      </c>
      <c r="B14" t="s">
        <v>47</v>
      </c>
      <c r="C14" s="5" t="s">
        <v>48</v>
      </c>
      <c r="D14" t="s">
        <v>29</v>
      </c>
      <c r="E14" s="4">
        <v>2</v>
      </c>
      <c r="F14" s="3">
        <v>849</v>
      </c>
      <c r="G14" s="3">
        <v>1698</v>
      </c>
      <c r="H14" t="s">
        <v>22</v>
      </c>
      <c r="I14" t="s">
        <v>18</v>
      </c>
      <c r="J14" t="str">
        <f t="shared" si="0"/>
        <v>Ok</v>
      </c>
      <c r="K14" t="b">
        <f t="shared" si="1"/>
        <v>0</v>
      </c>
      <c r="L14" t="str">
        <f t="shared" si="2"/>
        <v>USA</v>
      </c>
      <c r="M14" t="str">
        <f t="shared" si="3"/>
        <v>Valid</v>
      </c>
      <c r="N14" t="str">
        <f>_xlfn.XLOOKUP(D14, Product_Master!A:A, Product_Master!A:A, "Invalid")</f>
        <v>P13</v>
      </c>
      <c r="O14" t="str">
        <f t="shared" si="5"/>
        <v>Clean</v>
      </c>
    </row>
    <row r="15" spans="1:15" x14ac:dyDescent="0.55000000000000004">
      <c r="A15">
        <v>1014</v>
      </c>
      <c r="B15" t="s">
        <v>49</v>
      </c>
      <c r="C15" s="5" t="s">
        <v>50</v>
      </c>
      <c r="D15" t="s">
        <v>51</v>
      </c>
      <c r="E15" s="4">
        <v>1</v>
      </c>
      <c r="F15" s="3">
        <v>9757</v>
      </c>
      <c r="G15" s="3">
        <v>9757</v>
      </c>
      <c r="H15" t="s">
        <v>12</v>
      </c>
      <c r="I15" t="s">
        <v>18</v>
      </c>
      <c r="J15" t="str">
        <f t="shared" si="0"/>
        <v>Ok</v>
      </c>
      <c r="K15" t="b">
        <f t="shared" si="1"/>
        <v>0</v>
      </c>
      <c r="L15" t="str">
        <f t="shared" si="2"/>
        <v>INDIA</v>
      </c>
      <c r="M15" t="str">
        <f t="shared" si="3"/>
        <v>Valid</v>
      </c>
      <c r="N15" t="str">
        <f>_xlfn.XLOOKUP(D15, Product_Master!A:A, Product_Master!A:A, "Invalid")</f>
        <v>P01</v>
      </c>
      <c r="O15" t="str">
        <f t="shared" si="5"/>
        <v>Clean</v>
      </c>
    </row>
    <row r="16" spans="1:15" x14ac:dyDescent="0.55000000000000004">
      <c r="A16">
        <v>1015</v>
      </c>
      <c r="B16" t="s">
        <v>52</v>
      </c>
      <c r="C16" s="5" t="s">
        <v>48</v>
      </c>
      <c r="D16" t="s">
        <v>16</v>
      </c>
      <c r="E16" s="4">
        <v>1</v>
      </c>
      <c r="F16" s="3">
        <v>5954</v>
      </c>
      <c r="G16" s="3">
        <v>5954</v>
      </c>
      <c r="H16" t="s">
        <v>22</v>
      </c>
      <c r="I16" t="s">
        <v>18</v>
      </c>
      <c r="J16" t="str">
        <f t="shared" si="0"/>
        <v>Ok</v>
      </c>
      <c r="K16" t="b">
        <f t="shared" si="1"/>
        <v>0</v>
      </c>
      <c r="L16" t="str">
        <f t="shared" si="2"/>
        <v>USA</v>
      </c>
      <c r="M16" t="str">
        <f t="shared" si="3"/>
        <v>Valid</v>
      </c>
      <c r="N16" t="str">
        <f>_xlfn.XLOOKUP(D16, Product_Master!A:A, Product_Master!A:A, "Invalid")</f>
        <v>P07</v>
      </c>
      <c r="O16" t="str">
        <f t="shared" si="5"/>
        <v>Clean</v>
      </c>
    </row>
    <row r="17" spans="1:15" x14ac:dyDescent="0.55000000000000004">
      <c r="A17">
        <v>1016</v>
      </c>
      <c r="B17" t="s">
        <v>53</v>
      </c>
      <c r="C17" s="5" t="s">
        <v>54</v>
      </c>
      <c r="D17" t="s">
        <v>16</v>
      </c>
      <c r="E17" s="4">
        <v>3</v>
      </c>
      <c r="F17" s="3">
        <v>7346</v>
      </c>
      <c r="G17" s="3">
        <v>22038</v>
      </c>
      <c r="H17" t="s">
        <v>22</v>
      </c>
      <c r="I17" t="s">
        <v>55</v>
      </c>
      <c r="J17" t="str">
        <f t="shared" si="0"/>
        <v>Ok</v>
      </c>
      <c r="K17" t="b">
        <f t="shared" si="1"/>
        <v>0</v>
      </c>
      <c r="L17" t="str">
        <f t="shared" si="2"/>
        <v>USA</v>
      </c>
      <c r="M17" t="str">
        <f t="shared" si="3"/>
        <v>Valid</v>
      </c>
      <c r="N17" t="str">
        <f>_xlfn.XLOOKUP(D17, Product_Master!A:A, Product_Master!A:A, "Invalid")</f>
        <v>P07</v>
      </c>
      <c r="O17" t="str">
        <f t="shared" si="5"/>
        <v>Clean</v>
      </c>
    </row>
    <row r="18" spans="1:15" x14ac:dyDescent="0.55000000000000004">
      <c r="A18">
        <v>1017</v>
      </c>
      <c r="B18" t="s">
        <v>56</v>
      </c>
      <c r="C18" s="5" t="s">
        <v>48</v>
      </c>
      <c r="D18" t="s">
        <v>44</v>
      </c>
      <c r="E18" s="4">
        <v>5</v>
      </c>
      <c r="F18" s="3">
        <v>9189</v>
      </c>
      <c r="G18" s="3">
        <v>45945</v>
      </c>
      <c r="H18" t="s">
        <v>12</v>
      </c>
      <c r="I18" t="s">
        <v>18</v>
      </c>
      <c r="J18" t="str">
        <f t="shared" si="0"/>
        <v>Ok</v>
      </c>
      <c r="K18" t="b">
        <f t="shared" si="1"/>
        <v>0</v>
      </c>
      <c r="L18" t="str">
        <f t="shared" si="2"/>
        <v>INDIA</v>
      </c>
      <c r="M18" t="str">
        <f t="shared" si="3"/>
        <v>Valid</v>
      </c>
      <c r="N18" t="str">
        <f>_xlfn.XLOOKUP(D18, Product_Master!A:A, Product_Master!A:A, "Invalid")</f>
        <v>P11</v>
      </c>
      <c r="O18" t="str">
        <f t="shared" si="5"/>
        <v>Clean</v>
      </c>
    </row>
    <row r="19" spans="1:15" x14ac:dyDescent="0.55000000000000004">
      <c r="A19">
        <v>1018</v>
      </c>
      <c r="B19" t="s">
        <v>57</v>
      </c>
      <c r="C19" s="5" t="s">
        <v>58</v>
      </c>
      <c r="D19" t="s">
        <v>59</v>
      </c>
      <c r="E19" s="4">
        <v>5</v>
      </c>
      <c r="F19" s="3">
        <v>9794</v>
      </c>
      <c r="G19" s="3">
        <v>48970</v>
      </c>
      <c r="H19" t="s">
        <v>17</v>
      </c>
      <c r="I19" t="s">
        <v>18</v>
      </c>
      <c r="J19" t="str">
        <f t="shared" si="0"/>
        <v>Ok</v>
      </c>
      <c r="K19" t="b">
        <f t="shared" si="1"/>
        <v>0</v>
      </c>
      <c r="L19" t="str">
        <f t="shared" si="2"/>
        <v>CANADA</v>
      </c>
      <c r="M19" t="str">
        <f t="shared" si="3"/>
        <v>Valid</v>
      </c>
      <c r="N19" t="str">
        <f>_xlfn.XLOOKUP(D19, Product_Master!A:A, Product_Master!A:A, "Invalid")</f>
        <v>P03</v>
      </c>
      <c r="O19" t="str">
        <f t="shared" si="5"/>
        <v>Clean</v>
      </c>
    </row>
    <row r="20" spans="1:15" x14ac:dyDescent="0.55000000000000004">
      <c r="A20">
        <v>1019</v>
      </c>
      <c r="B20" t="s">
        <v>60</v>
      </c>
      <c r="C20" s="5" t="s">
        <v>61</v>
      </c>
      <c r="D20" t="s">
        <v>25</v>
      </c>
      <c r="E20" s="4">
        <v>1</v>
      </c>
      <c r="F20" s="3">
        <v>9850</v>
      </c>
      <c r="G20" s="3">
        <v>9850</v>
      </c>
      <c r="H20" t="s">
        <v>17</v>
      </c>
      <c r="I20" t="s">
        <v>13</v>
      </c>
      <c r="J20" t="str">
        <f t="shared" si="0"/>
        <v>Ok</v>
      </c>
      <c r="K20" t="b">
        <f t="shared" si="1"/>
        <v>0</v>
      </c>
      <c r="L20" t="str">
        <f t="shared" si="2"/>
        <v>CANADA</v>
      </c>
      <c r="M20" t="str">
        <f t="shared" si="3"/>
        <v>Valid</v>
      </c>
      <c r="N20" t="str">
        <f>_xlfn.XLOOKUP(D20, Product_Master!A:A, Product_Master!A:A, "Invalid")</f>
        <v>P09</v>
      </c>
      <c r="O20" t="str">
        <f t="shared" si="5"/>
        <v>Clean</v>
      </c>
    </row>
    <row r="21" spans="1:15" x14ac:dyDescent="0.55000000000000004">
      <c r="A21">
        <v>1020</v>
      </c>
      <c r="B21" t="s">
        <v>62</v>
      </c>
      <c r="C21" s="5" t="s">
        <v>63</v>
      </c>
      <c r="D21" t="s">
        <v>11</v>
      </c>
      <c r="E21" s="4">
        <v>3</v>
      </c>
      <c r="F21" s="3">
        <v>8993</v>
      </c>
      <c r="G21" s="3">
        <v>26979</v>
      </c>
      <c r="H21" t="s">
        <v>26</v>
      </c>
      <c r="I21" t="s">
        <v>13</v>
      </c>
      <c r="J21" t="str">
        <f t="shared" si="0"/>
        <v>Ok</v>
      </c>
      <c r="K21" t="b">
        <f t="shared" si="1"/>
        <v>0</v>
      </c>
      <c r="L21" t="str">
        <f t="shared" si="2"/>
        <v>UK</v>
      </c>
      <c r="M21" t="str">
        <f t="shared" si="3"/>
        <v>Valid</v>
      </c>
      <c r="N21" t="str">
        <f>_xlfn.XLOOKUP(D21, Product_Master!A:A, Product_Master!A:A, "Invalid")</f>
        <v>P05</v>
      </c>
      <c r="O21" t="str">
        <f t="shared" si="5"/>
        <v>Clean</v>
      </c>
    </row>
    <row r="22" spans="1:15" x14ac:dyDescent="0.55000000000000004">
      <c r="A22">
        <v>1016</v>
      </c>
      <c r="B22" t="s">
        <v>64</v>
      </c>
      <c r="C22" s="5" t="s">
        <v>34</v>
      </c>
      <c r="D22" t="s">
        <v>35</v>
      </c>
      <c r="E22" s="4">
        <v>3</v>
      </c>
      <c r="F22" s="3">
        <v>755</v>
      </c>
      <c r="G22" s="3">
        <v>2265</v>
      </c>
      <c r="H22" t="s">
        <v>22</v>
      </c>
      <c r="I22" t="s">
        <v>55</v>
      </c>
      <c r="J22" t="str">
        <f t="shared" si="0"/>
        <v>Ok</v>
      </c>
      <c r="K22" t="b">
        <f t="shared" si="1"/>
        <v>0</v>
      </c>
      <c r="L22" t="str">
        <f t="shared" si="2"/>
        <v>USA</v>
      </c>
      <c r="M22" t="str">
        <f t="shared" si="3"/>
        <v>Valid</v>
      </c>
      <c r="N22" t="str">
        <f>_xlfn.XLOOKUP(D22, Product_Master!A:A, Product_Master!A:A, "Invalid")</f>
        <v>P10</v>
      </c>
      <c r="O22" t="str">
        <f t="shared" si="5"/>
        <v>Clean</v>
      </c>
    </row>
    <row r="23" spans="1:15" x14ac:dyDescent="0.55000000000000004">
      <c r="A23">
        <v>1022</v>
      </c>
      <c r="B23" t="s">
        <v>65</v>
      </c>
      <c r="C23" s="5" t="s">
        <v>66</v>
      </c>
      <c r="D23" t="s">
        <v>25</v>
      </c>
      <c r="E23" s="4">
        <v>2</v>
      </c>
      <c r="F23" s="3">
        <v>2159</v>
      </c>
      <c r="G23" s="3">
        <v>4318</v>
      </c>
      <c r="H23" t="s">
        <v>12</v>
      </c>
      <c r="I23" t="s">
        <v>13</v>
      </c>
      <c r="J23" t="str">
        <f t="shared" si="0"/>
        <v>Ok</v>
      </c>
      <c r="K23" t="b">
        <f t="shared" si="1"/>
        <v>0</v>
      </c>
      <c r="L23" t="str">
        <f t="shared" si="2"/>
        <v>INDIA</v>
      </c>
      <c r="M23" t="str">
        <f t="shared" si="3"/>
        <v>Valid</v>
      </c>
      <c r="N23" t="str">
        <f>_xlfn.XLOOKUP(D23, Product_Master!A:A, Product_Master!A:A, "Invalid")</f>
        <v>P09</v>
      </c>
      <c r="O23" t="str">
        <f t="shared" si="5"/>
        <v>Clean</v>
      </c>
    </row>
    <row r="24" spans="1:15" x14ac:dyDescent="0.55000000000000004">
      <c r="A24">
        <v>1023</v>
      </c>
      <c r="B24" t="s">
        <v>67</v>
      </c>
      <c r="C24" s="5" t="s">
        <v>68</v>
      </c>
      <c r="D24" t="s">
        <v>59</v>
      </c>
      <c r="E24" s="4">
        <v>2</v>
      </c>
      <c r="F24" s="3">
        <v>2558</v>
      </c>
      <c r="G24" s="3">
        <v>5116</v>
      </c>
      <c r="H24" t="s">
        <v>12</v>
      </c>
      <c r="I24" t="s">
        <v>18</v>
      </c>
      <c r="J24" t="str">
        <f t="shared" si="0"/>
        <v>Ok</v>
      </c>
      <c r="K24" t="b">
        <f t="shared" si="1"/>
        <v>0</v>
      </c>
      <c r="L24" t="str">
        <f t="shared" si="2"/>
        <v>INDIA</v>
      </c>
      <c r="M24" t="str">
        <f t="shared" si="3"/>
        <v>Valid</v>
      </c>
      <c r="N24" t="str">
        <f>_xlfn.XLOOKUP(D24, Product_Master!A:A, Product_Master!A:A, "Invalid")</f>
        <v>P03</v>
      </c>
      <c r="O24" t="str">
        <f t="shared" si="5"/>
        <v>Clean</v>
      </c>
    </row>
    <row r="25" spans="1:15" x14ac:dyDescent="0.55000000000000004">
      <c r="A25">
        <v>1024</v>
      </c>
      <c r="B25" t="s">
        <v>69</v>
      </c>
      <c r="C25" s="5" t="s">
        <v>58</v>
      </c>
      <c r="D25" t="s">
        <v>44</v>
      </c>
      <c r="E25" s="4">
        <v>2</v>
      </c>
      <c r="F25" s="3">
        <v>4541</v>
      </c>
      <c r="G25" s="3">
        <v>9082</v>
      </c>
      <c r="H25" t="s">
        <v>17</v>
      </c>
      <c r="I25" t="s">
        <v>55</v>
      </c>
      <c r="J25" t="str">
        <f t="shared" si="0"/>
        <v>Ok</v>
      </c>
      <c r="K25" t="b">
        <f t="shared" si="1"/>
        <v>0</v>
      </c>
      <c r="L25" t="str">
        <f t="shared" si="2"/>
        <v>CANADA</v>
      </c>
      <c r="M25" t="str">
        <f t="shared" si="3"/>
        <v>Valid</v>
      </c>
      <c r="N25" t="str">
        <f>_xlfn.XLOOKUP(D25, Product_Master!A:A, Product_Master!A:A, "Invalid")</f>
        <v>P11</v>
      </c>
      <c r="O25" t="str">
        <f t="shared" si="5"/>
        <v>Clean</v>
      </c>
    </row>
    <row r="26" spans="1:15" x14ac:dyDescent="0.55000000000000004">
      <c r="A26">
        <v>1025</v>
      </c>
      <c r="B26" t="s">
        <v>70</v>
      </c>
      <c r="C26" s="5" t="s">
        <v>71</v>
      </c>
      <c r="D26" t="s">
        <v>51</v>
      </c>
      <c r="E26" s="4">
        <v>1</v>
      </c>
      <c r="F26" s="3">
        <v>4053</v>
      </c>
      <c r="G26" s="3">
        <v>4053</v>
      </c>
      <c r="H26" t="s">
        <v>17</v>
      </c>
      <c r="I26" t="s">
        <v>18</v>
      </c>
      <c r="J26" t="str">
        <f t="shared" si="0"/>
        <v>Ok</v>
      </c>
      <c r="K26" t="b">
        <f t="shared" si="1"/>
        <v>0</v>
      </c>
      <c r="L26" t="str">
        <f t="shared" si="2"/>
        <v>CANADA</v>
      </c>
      <c r="M26" t="str">
        <f t="shared" si="3"/>
        <v>Valid</v>
      </c>
      <c r="N26" t="str">
        <f>_xlfn.XLOOKUP(D26, Product_Master!A:A, Product_Master!A:A, "Invalid")</f>
        <v>P01</v>
      </c>
      <c r="O26" t="str">
        <f t="shared" si="5"/>
        <v>Clean</v>
      </c>
    </row>
    <row r="27" spans="1:15" x14ac:dyDescent="0.55000000000000004">
      <c r="A27">
        <v>1026</v>
      </c>
      <c r="B27" t="s">
        <v>72</v>
      </c>
      <c r="C27" s="5" t="s">
        <v>73</v>
      </c>
      <c r="D27" t="s">
        <v>32</v>
      </c>
      <c r="E27" s="4">
        <v>1</v>
      </c>
      <c r="F27" s="3">
        <v>2421</v>
      </c>
      <c r="G27" s="3">
        <v>2421</v>
      </c>
      <c r="H27" t="s">
        <v>26</v>
      </c>
      <c r="I27" t="s">
        <v>18</v>
      </c>
      <c r="J27" t="str">
        <f t="shared" si="0"/>
        <v>Ok</v>
      </c>
      <c r="K27" t="b">
        <f t="shared" si="1"/>
        <v>0</v>
      </c>
      <c r="L27" t="str">
        <f t="shared" si="2"/>
        <v>UK</v>
      </c>
      <c r="M27" t="str">
        <f t="shared" si="3"/>
        <v>Valid</v>
      </c>
      <c r="N27" t="str">
        <f>_xlfn.XLOOKUP(D27, Product_Master!A:A, Product_Master!A:A, "Invalid")</f>
        <v>P04</v>
      </c>
      <c r="O27" t="str">
        <f t="shared" si="5"/>
        <v>Clean</v>
      </c>
    </row>
    <row r="28" spans="1:15" x14ac:dyDescent="0.55000000000000004">
      <c r="A28">
        <v>1027</v>
      </c>
      <c r="B28" t="s">
        <v>74</v>
      </c>
      <c r="C28" s="5" t="s">
        <v>75</v>
      </c>
      <c r="D28" t="s">
        <v>11</v>
      </c>
      <c r="E28" s="4">
        <v>2</v>
      </c>
      <c r="F28" s="3">
        <v>4027</v>
      </c>
      <c r="G28" s="3">
        <v>8054</v>
      </c>
      <c r="H28" t="s">
        <v>12</v>
      </c>
      <c r="I28" t="s">
        <v>18</v>
      </c>
      <c r="J28" t="str">
        <f t="shared" si="0"/>
        <v>Ok</v>
      </c>
      <c r="K28" t="b">
        <f t="shared" si="1"/>
        <v>0</v>
      </c>
      <c r="L28" t="str">
        <f t="shared" si="2"/>
        <v>INDIA</v>
      </c>
      <c r="M28" t="str">
        <f t="shared" si="3"/>
        <v>Valid</v>
      </c>
      <c r="N28" t="str">
        <f>_xlfn.XLOOKUP(D28, Product_Master!A:A, Product_Master!A:A, "Invalid")</f>
        <v>P05</v>
      </c>
      <c r="O28" t="str">
        <f t="shared" si="5"/>
        <v>Clean</v>
      </c>
    </row>
    <row r="29" spans="1:15" x14ac:dyDescent="0.55000000000000004">
      <c r="A29">
        <v>1028</v>
      </c>
      <c r="B29" t="s">
        <v>76</v>
      </c>
      <c r="C29" s="5" t="s">
        <v>77</v>
      </c>
      <c r="D29" t="s">
        <v>51</v>
      </c>
      <c r="E29" s="4">
        <v>5</v>
      </c>
      <c r="F29" s="3">
        <v>3372</v>
      </c>
      <c r="G29" s="3">
        <v>16860</v>
      </c>
      <c r="H29" t="s">
        <v>17</v>
      </c>
      <c r="I29" t="s">
        <v>13</v>
      </c>
      <c r="J29" t="str">
        <f t="shared" si="0"/>
        <v>Ok</v>
      </c>
      <c r="K29" t="b">
        <f t="shared" si="1"/>
        <v>0</v>
      </c>
      <c r="L29" t="str">
        <f t="shared" si="2"/>
        <v>CANADA</v>
      </c>
      <c r="M29" t="str">
        <f t="shared" si="3"/>
        <v>Valid</v>
      </c>
      <c r="N29" t="str">
        <f>_xlfn.XLOOKUP(D29, Product_Master!A:A, Product_Master!A:A, "Invalid")</f>
        <v>P01</v>
      </c>
      <c r="O29" t="str">
        <f t="shared" si="5"/>
        <v>Clean</v>
      </c>
    </row>
    <row r="30" spans="1:15" x14ac:dyDescent="0.55000000000000004">
      <c r="A30">
        <v>1029</v>
      </c>
      <c r="B30" t="s">
        <v>78</v>
      </c>
      <c r="C30" s="5" t="s">
        <v>79</v>
      </c>
      <c r="D30" t="s">
        <v>21</v>
      </c>
      <c r="E30" s="4">
        <v>5</v>
      </c>
      <c r="F30" s="3">
        <v>625</v>
      </c>
      <c r="G30" s="3">
        <v>3125</v>
      </c>
      <c r="H30" t="s">
        <v>26</v>
      </c>
      <c r="I30" t="s">
        <v>18</v>
      </c>
      <c r="J30" t="str">
        <f t="shared" si="0"/>
        <v>Ok</v>
      </c>
      <c r="K30" t="b">
        <f t="shared" si="1"/>
        <v>0</v>
      </c>
      <c r="L30" t="str">
        <f t="shared" si="2"/>
        <v>UK</v>
      </c>
      <c r="M30" t="str">
        <f t="shared" si="3"/>
        <v>Valid</v>
      </c>
      <c r="N30" t="str">
        <f>_xlfn.XLOOKUP(D30, Product_Master!A:A, Product_Master!A:A, "Invalid")</f>
        <v>P15</v>
      </c>
      <c r="O30" t="str">
        <f t="shared" si="5"/>
        <v>Clean</v>
      </c>
    </row>
    <row r="31" spans="1:15" x14ac:dyDescent="0.55000000000000004">
      <c r="A31">
        <v>1030</v>
      </c>
      <c r="B31" t="s">
        <v>80</v>
      </c>
      <c r="C31" s="5" t="s">
        <v>43</v>
      </c>
      <c r="D31" t="s">
        <v>81</v>
      </c>
      <c r="E31" s="4">
        <v>3</v>
      </c>
      <c r="F31" s="3">
        <v>9568</v>
      </c>
      <c r="G31" s="3">
        <v>28704</v>
      </c>
      <c r="H31" t="s">
        <v>12</v>
      </c>
      <c r="I31" t="s">
        <v>13</v>
      </c>
      <c r="J31" t="str">
        <f t="shared" si="0"/>
        <v>Ok</v>
      </c>
      <c r="K31" t="b">
        <f t="shared" si="1"/>
        <v>0</v>
      </c>
      <c r="L31" t="str">
        <f t="shared" si="2"/>
        <v>INDIA</v>
      </c>
      <c r="M31" t="str">
        <f t="shared" si="3"/>
        <v>Valid</v>
      </c>
      <c r="N31" t="str">
        <f>_xlfn.XLOOKUP(D31, Product_Master!A:A, Product_Master!A:A, "Invalid")</f>
        <v>P06</v>
      </c>
      <c r="O31" t="str">
        <f t="shared" si="5"/>
        <v>Clean</v>
      </c>
    </row>
    <row r="32" spans="1:15" x14ac:dyDescent="0.55000000000000004">
      <c r="A32">
        <v>1031</v>
      </c>
      <c r="B32" t="s">
        <v>82</v>
      </c>
      <c r="C32" s="5" t="s">
        <v>83</v>
      </c>
      <c r="D32" t="s">
        <v>32</v>
      </c>
      <c r="E32" s="4">
        <v>5</v>
      </c>
      <c r="F32" s="3">
        <v>1724</v>
      </c>
      <c r="G32" s="3">
        <v>9120</v>
      </c>
      <c r="H32" t="s">
        <v>22</v>
      </c>
      <c r="I32" t="s">
        <v>13</v>
      </c>
      <c r="J32" t="str">
        <f t="shared" si="0"/>
        <v>Mismatch</v>
      </c>
      <c r="K32" t="b">
        <f t="shared" si="1"/>
        <v>0</v>
      </c>
      <c r="L32" t="str">
        <f t="shared" si="2"/>
        <v>USA</v>
      </c>
      <c r="M32" t="str">
        <f t="shared" si="3"/>
        <v>Valid</v>
      </c>
      <c r="N32" t="str">
        <f>_xlfn.XLOOKUP(D32, Product_Master!A:A, Product_Master!A:A, "Invalid")</f>
        <v>P04</v>
      </c>
      <c r="O32" t="str">
        <f t="shared" si="5"/>
        <v>Problem</v>
      </c>
    </row>
    <row r="33" spans="1:15" x14ac:dyDescent="0.55000000000000004">
      <c r="A33">
        <v>1032</v>
      </c>
      <c r="B33" t="s">
        <v>84</v>
      </c>
      <c r="C33" s="5" t="s">
        <v>85</v>
      </c>
      <c r="D33" t="s">
        <v>35</v>
      </c>
      <c r="E33" s="4">
        <v>1</v>
      </c>
      <c r="F33" s="3">
        <v>3380</v>
      </c>
      <c r="G33" s="3">
        <v>3380</v>
      </c>
      <c r="H33" t="s">
        <v>17</v>
      </c>
      <c r="I33" t="s">
        <v>18</v>
      </c>
      <c r="J33" t="str">
        <f t="shared" si="0"/>
        <v>Ok</v>
      </c>
      <c r="K33" t="b">
        <f t="shared" si="1"/>
        <v>0</v>
      </c>
      <c r="L33" t="str">
        <f t="shared" si="2"/>
        <v>CANADA</v>
      </c>
      <c r="M33" t="str">
        <f t="shared" si="3"/>
        <v>Valid</v>
      </c>
      <c r="N33" t="str">
        <f>_xlfn.XLOOKUP(D33, Product_Master!A:A, Product_Master!A:A, "Invalid")</f>
        <v>P10</v>
      </c>
      <c r="O33" t="str">
        <f t="shared" si="5"/>
        <v>Clean</v>
      </c>
    </row>
    <row r="34" spans="1:15" x14ac:dyDescent="0.55000000000000004">
      <c r="A34">
        <v>1033</v>
      </c>
      <c r="B34" t="s">
        <v>86</v>
      </c>
      <c r="C34" s="5" t="s">
        <v>87</v>
      </c>
      <c r="D34" t="s">
        <v>39</v>
      </c>
      <c r="E34" s="4">
        <v>5</v>
      </c>
      <c r="F34" s="3">
        <v>2772</v>
      </c>
      <c r="G34" s="3">
        <v>13860</v>
      </c>
      <c r="H34" t="s">
        <v>26</v>
      </c>
      <c r="I34" t="s">
        <v>55</v>
      </c>
      <c r="J34" t="str">
        <f t="shared" si="0"/>
        <v>Ok</v>
      </c>
      <c r="K34" t="b">
        <f t="shared" si="1"/>
        <v>0</v>
      </c>
      <c r="L34" t="str">
        <f t="shared" si="2"/>
        <v>UK</v>
      </c>
      <c r="M34" t="str">
        <f t="shared" si="3"/>
        <v>Valid</v>
      </c>
      <c r="N34" t="str">
        <f>_xlfn.XLOOKUP(D34, Product_Master!A:A, Product_Master!A:A, "Invalid")</f>
        <v>P12</v>
      </c>
      <c r="O34" t="str">
        <f t="shared" si="5"/>
        <v>Clean</v>
      </c>
    </row>
    <row r="35" spans="1:15" x14ac:dyDescent="0.55000000000000004">
      <c r="A35">
        <v>1034</v>
      </c>
      <c r="B35" t="s">
        <v>88</v>
      </c>
      <c r="C35" s="5" t="s">
        <v>89</v>
      </c>
      <c r="D35" t="s">
        <v>35</v>
      </c>
      <c r="E35" s="4">
        <v>2</v>
      </c>
      <c r="F35" s="3">
        <v>2474</v>
      </c>
      <c r="G35" s="3">
        <v>4948</v>
      </c>
      <c r="H35" t="s">
        <v>17</v>
      </c>
      <c r="I35" t="s">
        <v>55</v>
      </c>
      <c r="J35" t="str">
        <f t="shared" si="0"/>
        <v>Ok</v>
      </c>
      <c r="K35" t="b">
        <f t="shared" si="1"/>
        <v>0</v>
      </c>
      <c r="L35" t="str">
        <f t="shared" si="2"/>
        <v>CANADA</v>
      </c>
      <c r="M35" t="str">
        <f t="shared" si="3"/>
        <v>Valid</v>
      </c>
      <c r="N35" t="str">
        <f>_xlfn.XLOOKUP(D35, Product_Master!A:A, Product_Master!A:A, "Invalid")</f>
        <v>P10</v>
      </c>
      <c r="O35" t="str">
        <f t="shared" si="5"/>
        <v>Clean</v>
      </c>
    </row>
    <row r="36" spans="1:15" x14ac:dyDescent="0.55000000000000004">
      <c r="A36">
        <v>1035</v>
      </c>
      <c r="B36" t="s">
        <v>90</v>
      </c>
      <c r="C36" s="5" t="s">
        <v>91</v>
      </c>
      <c r="D36" t="s">
        <v>81</v>
      </c>
      <c r="E36" s="4">
        <v>3</v>
      </c>
      <c r="F36" s="3">
        <v>845</v>
      </c>
      <c r="G36" s="3">
        <v>2535</v>
      </c>
      <c r="H36" t="s">
        <v>26</v>
      </c>
      <c r="I36" t="s">
        <v>13</v>
      </c>
      <c r="J36" t="str">
        <f t="shared" si="0"/>
        <v>Ok</v>
      </c>
      <c r="K36" t="b">
        <f t="shared" si="1"/>
        <v>0</v>
      </c>
      <c r="L36" t="str">
        <f t="shared" si="2"/>
        <v>UK</v>
      </c>
      <c r="M36" t="str">
        <f t="shared" si="3"/>
        <v>Valid</v>
      </c>
      <c r="N36" t="str">
        <f>_xlfn.XLOOKUP(D36, Product_Master!A:A, Product_Master!A:A, "Invalid")</f>
        <v>P06</v>
      </c>
      <c r="O36" t="str">
        <f t="shared" si="5"/>
        <v>Clean</v>
      </c>
    </row>
    <row r="37" spans="1:15" x14ac:dyDescent="0.55000000000000004">
      <c r="A37">
        <v>1036</v>
      </c>
      <c r="B37" t="s">
        <v>92</v>
      </c>
      <c r="C37" s="5" t="s">
        <v>37</v>
      </c>
      <c r="D37" t="s">
        <v>39</v>
      </c>
      <c r="E37" s="4">
        <v>2</v>
      </c>
      <c r="F37" s="3">
        <v>5614</v>
      </c>
      <c r="G37" s="3">
        <v>11228</v>
      </c>
      <c r="H37" t="s">
        <v>26</v>
      </c>
      <c r="I37" t="s">
        <v>55</v>
      </c>
      <c r="J37" t="str">
        <f t="shared" si="0"/>
        <v>Ok</v>
      </c>
      <c r="K37" t="b">
        <f t="shared" si="1"/>
        <v>0</v>
      </c>
      <c r="L37" t="str">
        <f t="shared" si="2"/>
        <v>UK</v>
      </c>
      <c r="M37" t="str">
        <f t="shared" si="3"/>
        <v>Valid</v>
      </c>
      <c r="N37" t="str">
        <f>_xlfn.XLOOKUP(D37, Product_Master!A:A, Product_Master!A:A, "Invalid")</f>
        <v>P12</v>
      </c>
      <c r="O37" t="str">
        <f t="shared" si="5"/>
        <v>Clean</v>
      </c>
    </row>
    <row r="38" spans="1:15" x14ac:dyDescent="0.55000000000000004">
      <c r="A38">
        <v>1037</v>
      </c>
      <c r="B38" t="s">
        <v>93</v>
      </c>
      <c r="C38" s="5" t="s">
        <v>50</v>
      </c>
      <c r="D38" t="s">
        <v>25</v>
      </c>
      <c r="E38" s="4">
        <v>4</v>
      </c>
      <c r="F38" s="3">
        <v>3596</v>
      </c>
      <c r="G38" s="3">
        <v>14384</v>
      </c>
      <c r="H38" t="s">
        <v>17</v>
      </c>
      <c r="I38" t="s">
        <v>13</v>
      </c>
      <c r="J38" t="str">
        <f t="shared" si="0"/>
        <v>Ok</v>
      </c>
      <c r="K38" t="b">
        <f t="shared" si="1"/>
        <v>0</v>
      </c>
      <c r="L38" t="str">
        <f t="shared" si="2"/>
        <v>CANADA</v>
      </c>
      <c r="M38" t="str">
        <f t="shared" si="3"/>
        <v>Valid</v>
      </c>
      <c r="N38" t="str">
        <f>_xlfn.XLOOKUP(D38, Product_Master!A:A, Product_Master!A:A, "Invalid")</f>
        <v>P09</v>
      </c>
      <c r="O38" t="str">
        <f t="shared" si="5"/>
        <v>Clean</v>
      </c>
    </row>
    <row r="39" spans="1:15" x14ac:dyDescent="0.55000000000000004">
      <c r="A39">
        <v>1038</v>
      </c>
      <c r="B39" t="s">
        <v>94</v>
      </c>
      <c r="C39" s="5" t="s">
        <v>95</v>
      </c>
      <c r="D39" t="s">
        <v>11</v>
      </c>
      <c r="E39" s="4">
        <v>1</v>
      </c>
      <c r="F39" s="3">
        <v>980</v>
      </c>
      <c r="G39" s="3">
        <v>980</v>
      </c>
      <c r="H39" t="s">
        <v>22</v>
      </c>
      <c r="I39" t="s">
        <v>13</v>
      </c>
      <c r="J39" t="str">
        <f t="shared" si="0"/>
        <v>Ok</v>
      </c>
      <c r="K39" t="b">
        <f t="shared" si="1"/>
        <v>0</v>
      </c>
      <c r="L39" t="str">
        <f t="shared" si="2"/>
        <v>USA</v>
      </c>
      <c r="M39" t="str">
        <f t="shared" si="3"/>
        <v>Valid</v>
      </c>
      <c r="N39" t="str">
        <f>_xlfn.XLOOKUP(D39, Product_Master!A:A, Product_Master!A:A, "Invalid")</f>
        <v>P05</v>
      </c>
      <c r="O39" t="str">
        <f t="shared" si="5"/>
        <v>Clean</v>
      </c>
    </row>
    <row r="40" spans="1:15" x14ac:dyDescent="0.55000000000000004">
      <c r="A40">
        <v>1039</v>
      </c>
      <c r="B40" t="s">
        <v>96</v>
      </c>
      <c r="C40" s="5" t="s">
        <v>97</v>
      </c>
      <c r="D40" t="s">
        <v>16</v>
      </c>
      <c r="E40" s="4">
        <v>2</v>
      </c>
      <c r="F40" s="3">
        <v>4829</v>
      </c>
      <c r="G40" s="3">
        <v>9658</v>
      </c>
      <c r="H40" t="s">
        <v>17</v>
      </c>
      <c r="I40" t="s">
        <v>55</v>
      </c>
      <c r="J40" t="str">
        <f t="shared" si="0"/>
        <v>Ok</v>
      </c>
      <c r="K40" t="b">
        <f t="shared" si="1"/>
        <v>0</v>
      </c>
      <c r="L40" t="str">
        <f t="shared" si="2"/>
        <v>CANADA</v>
      </c>
      <c r="M40" t="str">
        <f t="shared" si="3"/>
        <v>Valid</v>
      </c>
      <c r="N40" t="str">
        <f>_xlfn.XLOOKUP(D40, Product_Master!A:A, Product_Master!A:A, "Invalid")</f>
        <v>P07</v>
      </c>
      <c r="O40" t="str">
        <f t="shared" si="5"/>
        <v>Clean</v>
      </c>
    </row>
    <row r="41" spans="1:15" x14ac:dyDescent="0.55000000000000004">
      <c r="A41">
        <v>1040</v>
      </c>
      <c r="B41" t="s">
        <v>98</v>
      </c>
      <c r="C41" s="5" t="s">
        <v>99</v>
      </c>
      <c r="D41" t="s">
        <v>21</v>
      </c>
      <c r="E41" s="4">
        <v>4</v>
      </c>
      <c r="F41" s="3">
        <v>4445</v>
      </c>
      <c r="G41" s="3">
        <v>17780</v>
      </c>
      <c r="H41" t="s">
        <v>26</v>
      </c>
      <c r="I41" t="s">
        <v>55</v>
      </c>
      <c r="J41" t="str">
        <f t="shared" si="0"/>
        <v>Ok</v>
      </c>
      <c r="K41" t="b">
        <f t="shared" si="1"/>
        <v>0</v>
      </c>
      <c r="L41" t="str">
        <f t="shared" si="2"/>
        <v>UK</v>
      </c>
      <c r="M41" t="str">
        <f t="shared" si="3"/>
        <v>Valid</v>
      </c>
      <c r="N41" t="str">
        <f>_xlfn.XLOOKUP(D41, Product_Master!A:A, Product_Master!A:A, "Invalid")</f>
        <v>P15</v>
      </c>
      <c r="O41" t="str">
        <f t="shared" si="5"/>
        <v>Clean</v>
      </c>
    </row>
    <row r="42" spans="1:15" x14ac:dyDescent="0.55000000000000004">
      <c r="A42">
        <v>1041</v>
      </c>
      <c r="B42" t="s">
        <v>100</v>
      </c>
      <c r="C42" s="5" t="s">
        <v>101</v>
      </c>
      <c r="D42" t="s">
        <v>44</v>
      </c>
      <c r="E42" s="4">
        <v>4</v>
      </c>
      <c r="F42" s="3">
        <v>1239</v>
      </c>
      <c r="G42" s="3">
        <v>4756</v>
      </c>
      <c r="H42" t="s">
        <v>26</v>
      </c>
      <c r="I42" t="s">
        <v>55</v>
      </c>
      <c r="J42" t="str">
        <f t="shared" si="0"/>
        <v>Mismatch</v>
      </c>
      <c r="K42" t="b">
        <f t="shared" si="1"/>
        <v>0</v>
      </c>
      <c r="L42" t="str">
        <f t="shared" si="2"/>
        <v>UK</v>
      </c>
      <c r="M42" t="str">
        <f t="shared" si="3"/>
        <v>Valid</v>
      </c>
      <c r="N42" t="str">
        <f>_xlfn.XLOOKUP(D42, Product_Master!A:A, Product_Master!A:A, "Invalid")</f>
        <v>P11</v>
      </c>
      <c r="O42" t="str">
        <f t="shared" si="5"/>
        <v>Problem</v>
      </c>
    </row>
    <row r="43" spans="1:15" x14ac:dyDescent="0.55000000000000004">
      <c r="A43">
        <v>1042</v>
      </c>
      <c r="B43" t="s">
        <v>102</v>
      </c>
      <c r="C43" s="5" t="s">
        <v>71</v>
      </c>
      <c r="D43" t="s">
        <v>59</v>
      </c>
      <c r="E43" s="4">
        <v>5</v>
      </c>
      <c r="F43" s="3">
        <v>2257</v>
      </c>
      <c r="G43" s="3">
        <v>11285</v>
      </c>
      <c r="H43" t="s">
        <v>12</v>
      </c>
      <c r="I43" t="s">
        <v>13</v>
      </c>
      <c r="J43" t="str">
        <f t="shared" si="0"/>
        <v>Ok</v>
      </c>
      <c r="K43" t="b">
        <f t="shared" si="1"/>
        <v>0</v>
      </c>
      <c r="L43" t="str">
        <f t="shared" si="2"/>
        <v>INDIA</v>
      </c>
      <c r="M43" t="str">
        <f t="shared" si="3"/>
        <v>Valid</v>
      </c>
      <c r="N43" t="str">
        <f>_xlfn.XLOOKUP(D43, Product_Master!A:A, Product_Master!A:A, "Invalid")</f>
        <v>P03</v>
      </c>
      <c r="O43" t="str">
        <f t="shared" si="5"/>
        <v>Clean</v>
      </c>
    </row>
    <row r="44" spans="1:15" x14ac:dyDescent="0.55000000000000004">
      <c r="A44">
        <v>1043</v>
      </c>
      <c r="B44" t="s">
        <v>103</v>
      </c>
      <c r="C44" s="5" t="s">
        <v>104</v>
      </c>
      <c r="D44" t="s">
        <v>81</v>
      </c>
      <c r="E44" s="4">
        <v>5</v>
      </c>
      <c r="F44" s="3">
        <v>7420</v>
      </c>
      <c r="G44" s="3">
        <v>37100</v>
      </c>
      <c r="H44" t="s">
        <v>12</v>
      </c>
      <c r="I44" t="s">
        <v>18</v>
      </c>
      <c r="J44" t="str">
        <f t="shared" si="0"/>
        <v>Ok</v>
      </c>
      <c r="K44" t="b">
        <f t="shared" si="1"/>
        <v>0</v>
      </c>
      <c r="L44" t="str">
        <f t="shared" si="2"/>
        <v>INDIA</v>
      </c>
      <c r="M44" t="str">
        <f t="shared" si="3"/>
        <v>Valid</v>
      </c>
      <c r="N44" t="str">
        <f>_xlfn.XLOOKUP(D44, Product_Master!A:A, Product_Master!A:A, "Invalid")</f>
        <v>P06</v>
      </c>
      <c r="O44" t="str">
        <f t="shared" si="5"/>
        <v>Clean</v>
      </c>
    </row>
    <row r="45" spans="1:15" x14ac:dyDescent="0.55000000000000004">
      <c r="A45">
        <v>1044</v>
      </c>
      <c r="B45" t="s">
        <v>105</v>
      </c>
      <c r="C45" s="5" t="s">
        <v>41</v>
      </c>
      <c r="D45" t="s">
        <v>35</v>
      </c>
      <c r="E45" s="4">
        <v>1</v>
      </c>
      <c r="F45" s="3">
        <v>4039</v>
      </c>
      <c r="G45" s="3">
        <v>4039</v>
      </c>
      <c r="H45" t="s">
        <v>12</v>
      </c>
      <c r="I45" t="s">
        <v>18</v>
      </c>
      <c r="J45" t="str">
        <f t="shared" si="0"/>
        <v>Ok</v>
      </c>
      <c r="K45" t="b">
        <f t="shared" si="1"/>
        <v>0</v>
      </c>
      <c r="L45" t="str">
        <f t="shared" si="2"/>
        <v>INDIA</v>
      </c>
      <c r="M45" t="str">
        <f t="shared" si="3"/>
        <v>Valid</v>
      </c>
      <c r="N45" t="str">
        <f>_xlfn.XLOOKUP(D45, Product_Master!A:A, Product_Master!A:A, "Invalid")</f>
        <v>P10</v>
      </c>
      <c r="O45" t="str">
        <f t="shared" si="5"/>
        <v>Clean</v>
      </c>
    </row>
    <row r="46" spans="1:15" x14ac:dyDescent="0.55000000000000004">
      <c r="A46">
        <v>1045</v>
      </c>
      <c r="B46" t="s">
        <v>106</v>
      </c>
      <c r="C46" s="5" t="s">
        <v>85</v>
      </c>
      <c r="D46" t="s">
        <v>81</v>
      </c>
      <c r="E46" s="4">
        <v>3</v>
      </c>
      <c r="F46" s="3">
        <v>3332</v>
      </c>
      <c r="G46" s="3">
        <v>9996</v>
      </c>
      <c r="H46" t="s">
        <v>12</v>
      </c>
      <c r="I46" t="s">
        <v>13</v>
      </c>
      <c r="J46" t="str">
        <f t="shared" si="0"/>
        <v>Ok</v>
      </c>
      <c r="K46" t="b">
        <f t="shared" si="1"/>
        <v>0</v>
      </c>
      <c r="L46" t="str">
        <f t="shared" si="2"/>
        <v>INDIA</v>
      </c>
      <c r="M46" t="str">
        <f t="shared" si="3"/>
        <v>Valid</v>
      </c>
      <c r="N46" t="str">
        <f>_xlfn.XLOOKUP(D46, Product_Master!A:A, Product_Master!A:A, "Invalid")</f>
        <v>P06</v>
      </c>
      <c r="O46" t="str">
        <f t="shared" si="5"/>
        <v>Clean</v>
      </c>
    </row>
    <row r="47" spans="1:15" x14ac:dyDescent="0.55000000000000004">
      <c r="A47">
        <v>1046</v>
      </c>
      <c r="B47" t="s">
        <v>107</v>
      </c>
      <c r="C47" s="5" t="s">
        <v>83</v>
      </c>
      <c r="D47" t="s">
        <v>11</v>
      </c>
      <c r="E47" s="4">
        <v>1</v>
      </c>
      <c r="F47" s="3">
        <v>2373</v>
      </c>
      <c r="G47" s="3">
        <v>2373</v>
      </c>
      <c r="H47" t="s">
        <v>17</v>
      </c>
      <c r="I47" t="s">
        <v>55</v>
      </c>
      <c r="J47" t="str">
        <f t="shared" si="0"/>
        <v>Ok</v>
      </c>
      <c r="K47" t="b">
        <f t="shared" si="1"/>
        <v>0</v>
      </c>
      <c r="L47" t="str">
        <f t="shared" si="2"/>
        <v>CANADA</v>
      </c>
      <c r="M47" t="str">
        <f t="shared" si="3"/>
        <v>Valid</v>
      </c>
      <c r="N47" t="str">
        <f>_xlfn.XLOOKUP(D47, Product_Master!A:A, Product_Master!A:A, "Invalid")</f>
        <v>P05</v>
      </c>
      <c r="O47" t="str">
        <f t="shared" si="5"/>
        <v>Clean</v>
      </c>
    </row>
    <row r="48" spans="1:15" x14ac:dyDescent="0.55000000000000004">
      <c r="A48">
        <v>1047</v>
      </c>
      <c r="B48" t="s">
        <v>108</v>
      </c>
      <c r="C48" s="5" t="s">
        <v>75</v>
      </c>
      <c r="D48" t="s">
        <v>109</v>
      </c>
      <c r="E48" s="4">
        <v>5</v>
      </c>
      <c r="F48" s="3">
        <v>3653</v>
      </c>
      <c r="G48" s="3">
        <v>18265</v>
      </c>
      <c r="H48" t="s">
        <v>12</v>
      </c>
      <c r="I48" t="s">
        <v>18</v>
      </c>
      <c r="J48" t="str">
        <f t="shared" si="0"/>
        <v>Ok</v>
      </c>
      <c r="K48" t="b">
        <f t="shared" si="1"/>
        <v>0</v>
      </c>
      <c r="L48" t="str">
        <f t="shared" si="2"/>
        <v>INDIA</v>
      </c>
      <c r="M48" t="str">
        <f t="shared" si="3"/>
        <v>Valid</v>
      </c>
      <c r="N48" t="str">
        <f>_xlfn.XLOOKUP(D48, Product_Master!A:A, Product_Master!A:A, "Invalid")</f>
        <v>P08</v>
      </c>
      <c r="O48" t="str">
        <f t="shared" si="5"/>
        <v>Clean</v>
      </c>
    </row>
    <row r="49" spans="1:15" x14ac:dyDescent="0.55000000000000004">
      <c r="A49">
        <v>1048</v>
      </c>
      <c r="B49" t="s">
        <v>110</v>
      </c>
      <c r="C49" s="5" t="s">
        <v>111</v>
      </c>
      <c r="D49" t="s">
        <v>32</v>
      </c>
      <c r="E49" s="4">
        <v>3</v>
      </c>
      <c r="F49" s="3">
        <v>1036</v>
      </c>
      <c r="G49" s="3">
        <v>3108</v>
      </c>
      <c r="H49" t="s">
        <v>22</v>
      </c>
      <c r="I49" t="s">
        <v>18</v>
      </c>
      <c r="J49" t="str">
        <f t="shared" si="0"/>
        <v>Ok</v>
      </c>
      <c r="K49" t="b">
        <f t="shared" si="1"/>
        <v>0</v>
      </c>
      <c r="L49" t="str">
        <f t="shared" si="2"/>
        <v>USA</v>
      </c>
      <c r="M49" t="str">
        <f t="shared" si="3"/>
        <v>Valid</v>
      </c>
      <c r="N49" t="str">
        <f>_xlfn.XLOOKUP(D49, Product_Master!A:A, Product_Master!A:A, "Invalid")</f>
        <v>P04</v>
      </c>
      <c r="O49" t="str">
        <f t="shared" si="5"/>
        <v>Clean</v>
      </c>
    </row>
    <row r="50" spans="1:15" x14ac:dyDescent="0.55000000000000004">
      <c r="A50">
        <v>1049</v>
      </c>
      <c r="B50" t="s">
        <v>112</v>
      </c>
      <c r="C50" s="5" t="s">
        <v>77</v>
      </c>
      <c r="D50" t="s">
        <v>16</v>
      </c>
      <c r="E50" s="4">
        <v>4</v>
      </c>
      <c r="F50" s="3">
        <v>981</v>
      </c>
      <c r="G50" s="3">
        <v>3924</v>
      </c>
      <c r="H50" t="s">
        <v>26</v>
      </c>
      <c r="I50" t="s">
        <v>18</v>
      </c>
      <c r="J50" t="str">
        <f t="shared" si="0"/>
        <v>Ok</v>
      </c>
      <c r="K50" t="b">
        <f t="shared" si="1"/>
        <v>0</v>
      </c>
      <c r="L50" t="str">
        <f t="shared" si="2"/>
        <v>UK</v>
      </c>
      <c r="M50" t="str">
        <f t="shared" si="3"/>
        <v>Valid</v>
      </c>
      <c r="N50" t="str">
        <f>_xlfn.XLOOKUP(D50, Product_Master!A:A, Product_Master!A:A, "Invalid")</f>
        <v>P07</v>
      </c>
      <c r="O50" t="str">
        <f t="shared" si="5"/>
        <v>Clean</v>
      </c>
    </row>
    <row r="51" spans="1:15" x14ac:dyDescent="0.55000000000000004">
      <c r="A51">
        <v>1050</v>
      </c>
      <c r="B51" t="s">
        <v>113</v>
      </c>
      <c r="C51" s="5" t="s">
        <v>114</v>
      </c>
      <c r="D51" t="s">
        <v>44</v>
      </c>
      <c r="E51" s="4">
        <v>5</v>
      </c>
      <c r="F51" s="3">
        <v>4877</v>
      </c>
      <c r="G51" s="3">
        <v>24385</v>
      </c>
      <c r="H51" t="s">
        <v>12</v>
      </c>
      <c r="I51" t="s">
        <v>55</v>
      </c>
      <c r="J51" t="str">
        <f t="shared" si="0"/>
        <v>Ok</v>
      </c>
      <c r="K51" t="b">
        <f t="shared" si="1"/>
        <v>0</v>
      </c>
      <c r="L51" t="str">
        <f t="shared" si="2"/>
        <v>INDIA</v>
      </c>
      <c r="M51" t="str">
        <f t="shared" si="3"/>
        <v>Valid</v>
      </c>
      <c r="N51" t="str">
        <f>_xlfn.XLOOKUP(D51, Product_Master!A:A, Product_Master!A:A, "Invalid")</f>
        <v>P11</v>
      </c>
      <c r="O51" t="str">
        <f t="shared" si="5"/>
        <v>Clean</v>
      </c>
    </row>
    <row r="52" spans="1:15" x14ac:dyDescent="0.55000000000000004">
      <c r="A52">
        <v>1051</v>
      </c>
      <c r="B52" t="s">
        <v>115</v>
      </c>
      <c r="C52" s="5" t="s">
        <v>116</v>
      </c>
      <c r="D52" t="s">
        <v>109</v>
      </c>
      <c r="E52" s="4">
        <v>-2</v>
      </c>
      <c r="F52" s="3">
        <v>644</v>
      </c>
      <c r="G52" s="3">
        <v>3220</v>
      </c>
      <c r="H52" t="s">
        <v>17</v>
      </c>
      <c r="I52" t="s">
        <v>55</v>
      </c>
      <c r="J52" t="str">
        <f t="shared" si="0"/>
        <v>Mismatch</v>
      </c>
      <c r="K52" t="b">
        <f t="shared" si="1"/>
        <v>0</v>
      </c>
      <c r="L52" t="str">
        <f t="shared" si="2"/>
        <v>CANADA</v>
      </c>
      <c r="M52" t="str">
        <f t="shared" si="3"/>
        <v>Valid</v>
      </c>
      <c r="N52" t="str">
        <f>_xlfn.XLOOKUP(D52, Product_Master!A:A, Product_Master!A:A, "Invalid")</f>
        <v>P08</v>
      </c>
      <c r="O52" t="str">
        <f t="shared" si="5"/>
        <v>Problem</v>
      </c>
    </row>
    <row r="53" spans="1:15" x14ac:dyDescent="0.55000000000000004">
      <c r="A53">
        <v>1052</v>
      </c>
      <c r="B53" t="s">
        <v>117</v>
      </c>
      <c r="C53" s="5" t="s">
        <v>118</v>
      </c>
      <c r="D53" t="s">
        <v>29</v>
      </c>
      <c r="E53" s="4">
        <v>5</v>
      </c>
      <c r="F53" s="3">
        <v>9224</v>
      </c>
      <c r="G53" s="3">
        <v>46120</v>
      </c>
      <c r="H53" t="s">
        <v>26</v>
      </c>
      <c r="I53" t="s">
        <v>13</v>
      </c>
      <c r="J53" t="str">
        <f t="shared" si="0"/>
        <v>Ok</v>
      </c>
      <c r="K53" t="b">
        <f t="shared" si="1"/>
        <v>0</v>
      </c>
      <c r="L53" t="str">
        <f t="shared" si="2"/>
        <v>UK</v>
      </c>
      <c r="M53" t="str">
        <f t="shared" si="3"/>
        <v>Valid</v>
      </c>
      <c r="N53" t="str">
        <f>_xlfn.XLOOKUP(D53, Product_Master!A:A, Product_Master!A:A, "Invalid")</f>
        <v>P13</v>
      </c>
      <c r="O53" t="str">
        <f t="shared" si="5"/>
        <v>Clean</v>
      </c>
    </row>
    <row r="54" spans="1:15" x14ac:dyDescent="0.55000000000000004">
      <c r="A54">
        <v>1053</v>
      </c>
      <c r="B54" t="s">
        <v>119</v>
      </c>
      <c r="C54" s="5" t="s">
        <v>120</v>
      </c>
      <c r="D54" t="s">
        <v>16</v>
      </c>
      <c r="E54" s="4">
        <v>2</v>
      </c>
      <c r="F54" s="3">
        <v>2293</v>
      </c>
      <c r="G54" s="3">
        <v>4586</v>
      </c>
      <c r="H54" t="s">
        <v>12</v>
      </c>
      <c r="I54" t="s">
        <v>18</v>
      </c>
      <c r="J54" t="str">
        <f t="shared" si="0"/>
        <v>Ok</v>
      </c>
      <c r="K54" t="b">
        <f t="shared" si="1"/>
        <v>0</v>
      </c>
      <c r="L54" t="str">
        <f t="shared" si="2"/>
        <v>INDIA</v>
      </c>
      <c r="M54" t="str">
        <f t="shared" si="3"/>
        <v>Valid</v>
      </c>
      <c r="N54" t="str">
        <f>_xlfn.XLOOKUP(D54, Product_Master!A:A, Product_Master!A:A, "Invalid")</f>
        <v>P07</v>
      </c>
      <c r="O54" t="str">
        <f t="shared" si="5"/>
        <v>Clean</v>
      </c>
    </row>
    <row r="55" spans="1:15" x14ac:dyDescent="0.55000000000000004">
      <c r="A55">
        <v>1054</v>
      </c>
      <c r="B55" t="s">
        <v>121</v>
      </c>
      <c r="C55" s="5" t="s">
        <v>50</v>
      </c>
      <c r="D55" t="s">
        <v>44</v>
      </c>
      <c r="E55" s="4">
        <v>4</v>
      </c>
      <c r="F55" s="3">
        <v>2468</v>
      </c>
      <c r="G55" s="3">
        <v>9872</v>
      </c>
      <c r="H55" t="s">
        <v>26</v>
      </c>
      <c r="I55" t="s">
        <v>55</v>
      </c>
      <c r="J55" t="str">
        <f t="shared" si="0"/>
        <v>Ok</v>
      </c>
      <c r="K55" t="b">
        <f t="shared" si="1"/>
        <v>0</v>
      </c>
      <c r="L55" t="str">
        <f t="shared" si="2"/>
        <v>UK</v>
      </c>
      <c r="M55" t="str">
        <f t="shared" si="3"/>
        <v>Valid</v>
      </c>
      <c r="N55" t="str">
        <f>_xlfn.XLOOKUP(D55, Product_Master!A:A, Product_Master!A:A, "Invalid")</f>
        <v>P11</v>
      </c>
      <c r="O55" t="str">
        <f t="shared" si="5"/>
        <v>Clean</v>
      </c>
    </row>
    <row r="56" spans="1:15" x14ac:dyDescent="0.55000000000000004">
      <c r="A56">
        <v>1055</v>
      </c>
      <c r="B56" t="s">
        <v>122</v>
      </c>
      <c r="C56" s="5" t="s">
        <v>116</v>
      </c>
      <c r="D56" t="s">
        <v>81</v>
      </c>
      <c r="E56" s="4">
        <v>4</v>
      </c>
      <c r="F56" s="3">
        <v>1691</v>
      </c>
      <c r="G56" s="3">
        <v>6764</v>
      </c>
      <c r="H56" t="s">
        <v>17</v>
      </c>
      <c r="I56" t="s">
        <v>18</v>
      </c>
      <c r="J56" t="str">
        <f t="shared" si="0"/>
        <v>Ok</v>
      </c>
      <c r="K56" t="b">
        <f t="shared" si="1"/>
        <v>0</v>
      </c>
      <c r="L56" t="str">
        <f t="shared" si="2"/>
        <v>CANADA</v>
      </c>
      <c r="M56" t="str">
        <f t="shared" si="3"/>
        <v>Valid</v>
      </c>
      <c r="N56" t="str">
        <f>_xlfn.XLOOKUP(D56, Product_Master!A:A, Product_Master!A:A, "Invalid")</f>
        <v>P06</v>
      </c>
      <c r="O56" t="str">
        <f t="shared" si="5"/>
        <v>Clean</v>
      </c>
    </row>
    <row r="57" spans="1:15" x14ac:dyDescent="0.55000000000000004">
      <c r="A57">
        <v>1056</v>
      </c>
      <c r="B57" t="s">
        <v>123</v>
      </c>
      <c r="C57" s="5" t="s">
        <v>71</v>
      </c>
      <c r="D57" t="s">
        <v>109</v>
      </c>
      <c r="E57" s="4">
        <v>4</v>
      </c>
      <c r="F57" s="3">
        <v>7502</v>
      </c>
      <c r="G57" s="3">
        <v>30008</v>
      </c>
      <c r="H57" t="s">
        <v>12</v>
      </c>
      <c r="I57" t="s">
        <v>18</v>
      </c>
      <c r="J57" t="str">
        <f t="shared" si="0"/>
        <v>Ok</v>
      </c>
      <c r="K57" t="b">
        <f t="shared" si="1"/>
        <v>0</v>
      </c>
      <c r="L57" t="str">
        <f t="shared" si="2"/>
        <v>INDIA</v>
      </c>
      <c r="M57" t="str">
        <f t="shared" si="3"/>
        <v>Valid</v>
      </c>
      <c r="N57" t="str">
        <f>_xlfn.XLOOKUP(D57, Product_Master!A:A, Product_Master!A:A, "Invalid")</f>
        <v>P08</v>
      </c>
      <c r="O57" t="str">
        <f t="shared" si="5"/>
        <v>Clean</v>
      </c>
    </row>
    <row r="58" spans="1:15" x14ac:dyDescent="0.55000000000000004">
      <c r="A58">
        <v>1057</v>
      </c>
      <c r="B58" t="s">
        <v>124</v>
      </c>
      <c r="C58" s="5" t="s">
        <v>125</v>
      </c>
      <c r="D58" t="s">
        <v>16</v>
      </c>
      <c r="E58" s="4">
        <v>1</v>
      </c>
      <c r="F58" s="3">
        <v>791</v>
      </c>
      <c r="G58" s="3">
        <v>791</v>
      </c>
      <c r="H58" t="s">
        <v>22</v>
      </c>
      <c r="I58" t="s">
        <v>55</v>
      </c>
      <c r="J58" t="str">
        <f t="shared" si="0"/>
        <v>Ok</v>
      </c>
      <c r="K58" t="b">
        <f t="shared" si="1"/>
        <v>0</v>
      </c>
      <c r="L58" t="str">
        <f t="shared" si="2"/>
        <v>USA</v>
      </c>
      <c r="M58" t="str">
        <f t="shared" si="3"/>
        <v>Valid</v>
      </c>
      <c r="N58" t="str">
        <f>_xlfn.XLOOKUP(D58, Product_Master!A:A, Product_Master!A:A, "Invalid")</f>
        <v>P07</v>
      </c>
      <c r="O58" t="str">
        <f t="shared" si="5"/>
        <v>Clean</v>
      </c>
    </row>
    <row r="59" spans="1:15" x14ac:dyDescent="0.55000000000000004">
      <c r="A59">
        <v>1058</v>
      </c>
      <c r="B59" t="s">
        <v>126</v>
      </c>
      <c r="C59" s="5" t="s">
        <v>89</v>
      </c>
      <c r="D59" t="s">
        <v>21</v>
      </c>
      <c r="E59" s="4">
        <v>2</v>
      </c>
      <c r="F59" s="3">
        <v>6477</v>
      </c>
      <c r="G59" s="3">
        <v>12954</v>
      </c>
      <c r="H59" t="s">
        <v>22</v>
      </c>
      <c r="I59" t="s">
        <v>55</v>
      </c>
      <c r="J59" t="str">
        <f t="shared" si="0"/>
        <v>Ok</v>
      </c>
      <c r="K59" t="b">
        <f t="shared" si="1"/>
        <v>0</v>
      </c>
      <c r="L59" t="str">
        <f t="shared" si="2"/>
        <v>USA</v>
      </c>
      <c r="M59" t="str">
        <f t="shared" si="3"/>
        <v>Valid</v>
      </c>
      <c r="N59" t="str">
        <f>_xlfn.XLOOKUP(D59, Product_Master!A:A, Product_Master!A:A, "Invalid")</f>
        <v>P15</v>
      </c>
      <c r="O59" t="str">
        <f t="shared" si="5"/>
        <v>Clean</v>
      </c>
    </row>
    <row r="60" spans="1:15" x14ac:dyDescent="0.55000000000000004">
      <c r="A60">
        <v>1059</v>
      </c>
      <c r="B60" t="s">
        <v>127</v>
      </c>
      <c r="C60" s="5" t="s">
        <v>63</v>
      </c>
      <c r="D60" t="s">
        <v>59</v>
      </c>
      <c r="E60" s="4">
        <v>1</v>
      </c>
      <c r="F60" s="3">
        <v>4996</v>
      </c>
      <c r="G60" s="3">
        <v>4996</v>
      </c>
      <c r="H60" t="s">
        <v>12</v>
      </c>
      <c r="I60" t="s">
        <v>18</v>
      </c>
      <c r="J60" t="str">
        <f t="shared" si="0"/>
        <v>Ok</v>
      </c>
      <c r="K60" t="b">
        <f t="shared" si="1"/>
        <v>0</v>
      </c>
      <c r="L60" t="str">
        <f t="shared" si="2"/>
        <v>INDIA</v>
      </c>
      <c r="M60" t="str">
        <f t="shared" si="3"/>
        <v>Valid</v>
      </c>
      <c r="N60" t="str">
        <f>_xlfn.XLOOKUP(D60, Product_Master!A:A, Product_Master!A:A, "Invalid")</f>
        <v>P03</v>
      </c>
      <c r="O60" t="str">
        <f t="shared" si="5"/>
        <v>Clean</v>
      </c>
    </row>
    <row r="61" spans="1:15" x14ac:dyDescent="0.55000000000000004">
      <c r="A61">
        <v>1060</v>
      </c>
      <c r="B61" t="s">
        <v>128</v>
      </c>
      <c r="C61" s="5" t="s">
        <v>129</v>
      </c>
      <c r="D61" t="s">
        <v>21</v>
      </c>
      <c r="E61" s="4">
        <v>5</v>
      </c>
      <c r="F61" s="3">
        <v>4338</v>
      </c>
      <c r="G61" s="3">
        <v>21690</v>
      </c>
      <c r="H61" t="s">
        <v>22</v>
      </c>
      <c r="I61" t="s">
        <v>55</v>
      </c>
      <c r="J61" t="str">
        <f t="shared" si="0"/>
        <v>Ok</v>
      </c>
      <c r="K61" t="b">
        <f t="shared" si="1"/>
        <v>0</v>
      </c>
      <c r="L61" t="str">
        <f t="shared" si="2"/>
        <v>USA</v>
      </c>
      <c r="M61" t="str">
        <f t="shared" si="3"/>
        <v>Valid</v>
      </c>
      <c r="N61" t="str">
        <f>_xlfn.XLOOKUP(D61, Product_Master!A:A, Product_Master!A:A, "Invalid")</f>
        <v>P15</v>
      </c>
      <c r="O61" t="str">
        <f t="shared" si="5"/>
        <v>Clean</v>
      </c>
    </row>
    <row r="62" spans="1:15" x14ac:dyDescent="0.55000000000000004">
      <c r="A62">
        <v>1061</v>
      </c>
      <c r="B62" t="s">
        <v>130</v>
      </c>
      <c r="C62" s="5" t="s">
        <v>68</v>
      </c>
      <c r="D62" t="s">
        <v>81</v>
      </c>
      <c r="E62" s="4">
        <v>-1</v>
      </c>
      <c r="F62" s="3">
        <v>3899</v>
      </c>
      <c r="G62" s="3">
        <v>11697</v>
      </c>
      <c r="H62" t="s">
        <v>12</v>
      </c>
      <c r="I62" t="s">
        <v>18</v>
      </c>
      <c r="J62" t="str">
        <f t="shared" si="0"/>
        <v>Mismatch</v>
      </c>
      <c r="K62" t="b">
        <f t="shared" si="1"/>
        <v>0</v>
      </c>
      <c r="L62" t="str">
        <f t="shared" si="2"/>
        <v>INDIA</v>
      </c>
      <c r="M62" t="str">
        <f t="shared" si="3"/>
        <v>Valid</v>
      </c>
      <c r="N62" t="str">
        <f>_xlfn.XLOOKUP(D62, Product_Master!A:A, Product_Master!A:A, "Invalid")</f>
        <v>P06</v>
      </c>
      <c r="O62" t="str">
        <f t="shared" si="5"/>
        <v>Problem</v>
      </c>
    </row>
    <row r="63" spans="1:15" x14ac:dyDescent="0.55000000000000004">
      <c r="A63">
        <v>1062</v>
      </c>
      <c r="B63" t="s">
        <v>131</v>
      </c>
      <c r="C63" s="5" t="s">
        <v>118</v>
      </c>
      <c r="D63" t="s">
        <v>44</v>
      </c>
      <c r="E63" s="4">
        <v>1</v>
      </c>
      <c r="F63" s="3">
        <v>4155</v>
      </c>
      <c r="G63" s="3">
        <v>4155</v>
      </c>
      <c r="H63" t="s">
        <v>26</v>
      </c>
      <c r="I63" t="s">
        <v>18</v>
      </c>
      <c r="J63" t="str">
        <f t="shared" si="0"/>
        <v>Ok</v>
      </c>
      <c r="K63" t="b">
        <f t="shared" si="1"/>
        <v>0</v>
      </c>
      <c r="L63" t="str">
        <f t="shared" si="2"/>
        <v>UK</v>
      </c>
      <c r="M63" t="str">
        <f t="shared" si="3"/>
        <v>Valid</v>
      </c>
      <c r="N63" t="str">
        <f>_xlfn.XLOOKUP(D63, Product_Master!A:A, Product_Master!A:A, "Invalid")</f>
        <v>P11</v>
      </c>
      <c r="O63" t="str">
        <f t="shared" si="5"/>
        <v>Clean</v>
      </c>
    </row>
    <row r="64" spans="1:15" x14ac:dyDescent="0.55000000000000004">
      <c r="A64">
        <v>1063</v>
      </c>
      <c r="B64" t="s">
        <v>132</v>
      </c>
      <c r="C64" s="5" t="s">
        <v>133</v>
      </c>
      <c r="D64" t="s">
        <v>59</v>
      </c>
      <c r="E64" s="4">
        <v>5</v>
      </c>
      <c r="F64" s="3">
        <v>8852</v>
      </c>
      <c r="G64" s="3">
        <v>44260</v>
      </c>
      <c r="H64" t="s">
        <v>26</v>
      </c>
      <c r="I64" t="s">
        <v>13</v>
      </c>
      <c r="J64" t="str">
        <f t="shared" si="0"/>
        <v>Ok</v>
      </c>
      <c r="K64" t="b">
        <f t="shared" si="1"/>
        <v>0</v>
      </c>
      <c r="L64" t="str">
        <f t="shared" si="2"/>
        <v>UK</v>
      </c>
      <c r="M64" t="str">
        <f t="shared" si="3"/>
        <v>Valid</v>
      </c>
      <c r="N64" t="str">
        <f>_xlfn.XLOOKUP(D64, Product_Master!A:A, Product_Master!A:A, "Invalid")</f>
        <v>P03</v>
      </c>
      <c r="O64" t="str">
        <f t="shared" si="5"/>
        <v>Clean</v>
      </c>
    </row>
    <row r="65" spans="1:15" x14ac:dyDescent="0.55000000000000004">
      <c r="A65">
        <v>1064</v>
      </c>
      <c r="B65" t="s">
        <v>134</v>
      </c>
      <c r="C65" s="5" t="s">
        <v>50</v>
      </c>
      <c r="D65" t="s">
        <v>11</v>
      </c>
      <c r="E65" s="4">
        <v>4</v>
      </c>
      <c r="F65" s="3">
        <v>5768</v>
      </c>
      <c r="G65" s="3">
        <v>23072</v>
      </c>
      <c r="H65" t="s">
        <v>12</v>
      </c>
      <c r="I65" t="s">
        <v>13</v>
      </c>
      <c r="J65" t="str">
        <f t="shared" si="0"/>
        <v>Ok</v>
      </c>
      <c r="K65" t="b">
        <f t="shared" si="1"/>
        <v>0</v>
      </c>
      <c r="L65" t="str">
        <f t="shared" si="2"/>
        <v>INDIA</v>
      </c>
      <c r="M65" t="str">
        <f t="shared" si="3"/>
        <v>Valid</v>
      </c>
      <c r="N65" t="str">
        <f>_xlfn.XLOOKUP(D65, Product_Master!A:A, Product_Master!A:A, "Invalid")</f>
        <v>P05</v>
      </c>
      <c r="O65" t="str">
        <f t="shared" si="5"/>
        <v>Clean</v>
      </c>
    </row>
    <row r="66" spans="1:15" x14ac:dyDescent="0.55000000000000004">
      <c r="A66">
        <v>1065</v>
      </c>
      <c r="B66" t="s">
        <v>135</v>
      </c>
      <c r="C66" s="5" t="s">
        <v>136</v>
      </c>
      <c r="D66" t="s">
        <v>25</v>
      </c>
      <c r="E66" s="4">
        <v>5</v>
      </c>
      <c r="F66" s="3">
        <v>6775</v>
      </c>
      <c r="G66" s="3">
        <v>33875</v>
      </c>
      <c r="H66" t="s">
        <v>26</v>
      </c>
      <c r="I66" t="s">
        <v>55</v>
      </c>
      <c r="J66" t="str">
        <f t="shared" ref="J66:J129" si="6">IF(G66&lt;&gt;(E66*F66), "Mismatch", "Ok")</f>
        <v>Ok</v>
      </c>
      <c r="K66" t="b">
        <f t="shared" ref="K66:K129" si="7">ISNUMBER(C66)</f>
        <v>0</v>
      </c>
      <c r="L66" t="str">
        <f t="shared" ref="L66:L129" si="8">_xlfn.XLOOKUP(
    UPPER(SUBSTITUTE(TRIM(H66),".","")),
    A:A,
    B:B,
    UPPER(SUBSTITUTE(TRIM(H66),".",""))
)</f>
        <v>UK</v>
      </c>
      <c r="M66" t="str">
        <f t="shared" ref="M66:M129" si="9">IF(OR(I66="Completed", I66="Pending", I66="Cancelled"), "Valid", "Invalid")</f>
        <v>Valid</v>
      </c>
      <c r="N66" t="str">
        <f>_xlfn.XLOOKUP(D66, Product_Master!A:A, Product_Master!A:A, "Invalid")</f>
        <v>P09</v>
      </c>
      <c r="O66" t="str">
        <f t="shared" si="5"/>
        <v>Clean</v>
      </c>
    </row>
    <row r="67" spans="1:15" x14ac:dyDescent="0.55000000000000004">
      <c r="A67">
        <v>1066</v>
      </c>
      <c r="B67" t="s">
        <v>137</v>
      </c>
      <c r="C67" s="5" t="s">
        <v>138</v>
      </c>
      <c r="D67" t="s">
        <v>39</v>
      </c>
      <c r="E67" s="4">
        <v>3</v>
      </c>
      <c r="F67" s="3">
        <v>8695</v>
      </c>
      <c r="G67" s="3">
        <v>26085</v>
      </c>
      <c r="H67" t="s">
        <v>12</v>
      </c>
      <c r="I67" t="s">
        <v>18</v>
      </c>
      <c r="J67" t="str">
        <f t="shared" si="6"/>
        <v>Ok</v>
      </c>
      <c r="K67" t="b">
        <f t="shared" si="7"/>
        <v>0</v>
      </c>
      <c r="L67" t="str">
        <f t="shared" si="8"/>
        <v>INDIA</v>
      </c>
      <c r="M67" t="str">
        <f t="shared" si="9"/>
        <v>Valid</v>
      </c>
      <c r="N67" t="str">
        <f>_xlfn.XLOOKUP(D67, Product_Master!A:A, Product_Master!A:A, "Invalid")</f>
        <v>P12</v>
      </c>
      <c r="O67" t="str">
        <f t="shared" si="5"/>
        <v>Clean</v>
      </c>
    </row>
    <row r="68" spans="1:15" x14ac:dyDescent="0.55000000000000004">
      <c r="A68">
        <v>1067</v>
      </c>
      <c r="B68" t="s">
        <v>139</v>
      </c>
      <c r="C68" s="5" t="s">
        <v>83</v>
      </c>
      <c r="D68" t="s">
        <v>25</v>
      </c>
      <c r="E68" s="4">
        <v>1</v>
      </c>
      <c r="F68" s="3">
        <v>6683</v>
      </c>
      <c r="G68" s="3">
        <v>6683</v>
      </c>
      <c r="H68" t="s">
        <v>17</v>
      </c>
      <c r="I68" t="s">
        <v>18</v>
      </c>
      <c r="J68" t="str">
        <f t="shared" si="6"/>
        <v>Ok</v>
      </c>
      <c r="K68" t="b">
        <f t="shared" si="7"/>
        <v>0</v>
      </c>
      <c r="L68" t="str">
        <f t="shared" si="8"/>
        <v>CANADA</v>
      </c>
      <c r="M68" t="str">
        <f t="shared" si="9"/>
        <v>Valid</v>
      </c>
      <c r="N68" t="str">
        <f>_xlfn.XLOOKUP(D68, Product_Master!A:A, Product_Master!A:A, "Invalid")</f>
        <v>P09</v>
      </c>
      <c r="O68" t="str">
        <f t="shared" si="5"/>
        <v>Clean</v>
      </c>
    </row>
    <row r="69" spans="1:15" x14ac:dyDescent="0.55000000000000004">
      <c r="A69">
        <v>1068</v>
      </c>
      <c r="B69" t="s">
        <v>140</v>
      </c>
      <c r="C69" s="5" t="s">
        <v>24</v>
      </c>
      <c r="D69" t="s">
        <v>141</v>
      </c>
      <c r="E69" s="4">
        <v>3</v>
      </c>
      <c r="F69" s="3">
        <v>4372</v>
      </c>
      <c r="G69" s="3">
        <v>13116</v>
      </c>
      <c r="H69" t="s">
        <v>26</v>
      </c>
      <c r="I69" t="s">
        <v>18</v>
      </c>
      <c r="J69" t="str">
        <f t="shared" si="6"/>
        <v>Ok</v>
      </c>
      <c r="K69" t="b">
        <f t="shared" si="7"/>
        <v>0</v>
      </c>
      <c r="L69" t="str">
        <f t="shared" si="8"/>
        <v>UK</v>
      </c>
      <c r="M69" t="str">
        <f t="shared" si="9"/>
        <v>Valid</v>
      </c>
      <c r="N69" t="str">
        <f>_xlfn.XLOOKUP(D69, Product_Master!A:A, Product_Master!A:A, "Invalid")</f>
        <v>P14</v>
      </c>
      <c r="O69" t="str">
        <f t="shared" si="5"/>
        <v>Clean</v>
      </c>
    </row>
    <row r="70" spans="1:15" x14ac:dyDescent="0.55000000000000004">
      <c r="A70">
        <v>1069</v>
      </c>
      <c r="B70" t="s">
        <v>142</v>
      </c>
      <c r="C70" s="5" t="s">
        <v>143</v>
      </c>
      <c r="D70" t="s">
        <v>59</v>
      </c>
      <c r="E70" s="4">
        <v>5</v>
      </c>
      <c r="F70" s="3">
        <v>6060</v>
      </c>
      <c r="G70" s="3">
        <v>30300</v>
      </c>
      <c r="H70" t="s">
        <v>26</v>
      </c>
      <c r="I70" t="s">
        <v>55</v>
      </c>
      <c r="J70" t="str">
        <f t="shared" si="6"/>
        <v>Ok</v>
      </c>
      <c r="K70" t="b">
        <f t="shared" si="7"/>
        <v>0</v>
      </c>
      <c r="L70" t="str">
        <f t="shared" si="8"/>
        <v>UK</v>
      </c>
      <c r="M70" t="str">
        <f t="shared" si="9"/>
        <v>Valid</v>
      </c>
      <c r="N70" t="str">
        <f>_xlfn.XLOOKUP(D70, Product_Master!A:A, Product_Master!A:A, "Invalid")</f>
        <v>P03</v>
      </c>
      <c r="O70" t="str">
        <f t="shared" si="5"/>
        <v>Clean</v>
      </c>
    </row>
    <row r="71" spans="1:15" x14ac:dyDescent="0.55000000000000004">
      <c r="A71">
        <v>1070</v>
      </c>
      <c r="B71" t="s">
        <v>144</v>
      </c>
      <c r="C71" s="5" t="s">
        <v>136</v>
      </c>
      <c r="D71" t="s">
        <v>145</v>
      </c>
      <c r="E71" s="4">
        <v>4</v>
      </c>
      <c r="F71" s="3">
        <v>4719</v>
      </c>
      <c r="G71" s="3">
        <v>18876</v>
      </c>
      <c r="H71" t="s">
        <v>17</v>
      </c>
      <c r="I71" t="s">
        <v>55</v>
      </c>
      <c r="J71" t="str">
        <f t="shared" si="6"/>
        <v>Ok</v>
      </c>
      <c r="K71" t="b">
        <f t="shared" si="7"/>
        <v>0</v>
      </c>
      <c r="L71" t="str">
        <f t="shared" si="8"/>
        <v>CANADA</v>
      </c>
      <c r="M71" t="str">
        <f t="shared" si="9"/>
        <v>Valid</v>
      </c>
      <c r="N71" t="str">
        <f>_xlfn.XLOOKUP(D71, Product_Master!A:A, Product_Master!A:A, "Invalid")</f>
        <v>P02</v>
      </c>
      <c r="O71" t="str">
        <f t="shared" ref="O71:O134" si="10">IF(OR(J71="Mismatch", K71="False", M71="Invalid", N71="Invalid"), "Problem", "Clean")</f>
        <v>Clean</v>
      </c>
    </row>
    <row r="72" spans="1:15" x14ac:dyDescent="0.55000000000000004">
      <c r="A72">
        <v>1071</v>
      </c>
      <c r="B72" t="s">
        <v>146</v>
      </c>
      <c r="C72" s="5" t="s">
        <v>147</v>
      </c>
      <c r="D72" t="s">
        <v>148</v>
      </c>
      <c r="E72" s="4">
        <v>3</v>
      </c>
      <c r="F72" s="3">
        <v>2921</v>
      </c>
      <c r="G72" s="3">
        <v>8763</v>
      </c>
      <c r="H72" t="s">
        <v>12</v>
      </c>
      <c r="I72" t="s">
        <v>13</v>
      </c>
      <c r="J72" t="str">
        <f t="shared" si="6"/>
        <v>Ok</v>
      </c>
      <c r="K72" t="b">
        <f t="shared" si="7"/>
        <v>0</v>
      </c>
      <c r="L72" t="str">
        <f t="shared" si="8"/>
        <v>INDIA</v>
      </c>
      <c r="M72" t="str">
        <f t="shared" si="9"/>
        <v>Valid</v>
      </c>
      <c r="N72" t="str">
        <f>_xlfn.XLOOKUP(D72, Product_Master!A:A, Product_Master!A:A, "Invalid")</f>
        <v>Invalid</v>
      </c>
      <c r="O72" t="str">
        <f t="shared" si="10"/>
        <v>Problem</v>
      </c>
    </row>
    <row r="73" spans="1:15" x14ac:dyDescent="0.55000000000000004">
      <c r="A73">
        <v>1072</v>
      </c>
      <c r="B73" t="s">
        <v>149</v>
      </c>
      <c r="C73" s="5" t="s">
        <v>85</v>
      </c>
      <c r="D73" t="s">
        <v>25</v>
      </c>
      <c r="E73" s="4">
        <v>2</v>
      </c>
      <c r="F73" s="3">
        <v>6947</v>
      </c>
      <c r="G73" s="3">
        <v>13894</v>
      </c>
      <c r="H73" t="s">
        <v>22</v>
      </c>
      <c r="I73" t="s">
        <v>55</v>
      </c>
      <c r="J73" t="str">
        <f t="shared" si="6"/>
        <v>Ok</v>
      </c>
      <c r="K73" t="b">
        <f t="shared" si="7"/>
        <v>0</v>
      </c>
      <c r="L73" t="str">
        <f t="shared" si="8"/>
        <v>USA</v>
      </c>
      <c r="M73" t="str">
        <f t="shared" si="9"/>
        <v>Valid</v>
      </c>
      <c r="N73" t="str">
        <f>_xlfn.XLOOKUP(D73, Product_Master!A:A, Product_Master!A:A, "Invalid")</f>
        <v>P09</v>
      </c>
      <c r="O73" t="str">
        <f t="shared" si="10"/>
        <v>Clean</v>
      </c>
    </row>
    <row r="74" spans="1:15" x14ac:dyDescent="0.55000000000000004">
      <c r="A74">
        <v>1073</v>
      </c>
      <c r="B74" t="s">
        <v>150</v>
      </c>
      <c r="C74" s="5" t="s">
        <v>151</v>
      </c>
      <c r="D74" t="s">
        <v>16</v>
      </c>
      <c r="E74" s="4">
        <v>2</v>
      </c>
      <c r="F74" s="3">
        <v>8446</v>
      </c>
      <c r="G74" s="3">
        <v>16892</v>
      </c>
      <c r="H74" t="s">
        <v>22</v>
      </c>
      <c r="I74" t="s">
        <v>18</v>
      </c>
      <c r="J74" t="str">
        <f t="shared" si="6"/>
        <v>Ok</v>
      </c>
      <c r="K74" t="b">
        <f t="shared" si="7"/>
        <v>0</v>
      </c>
      <c r="L74" t="str">
        <f t="shared" si="8"/>
        <v>USA</v>
      </c>
      <c r="M74" t="str">
        <f t="shared" si="9"/>
        <v>Valid</v>
      </c>
      <c r="N74" t="str">
        <f>_xlfn.XLOOKUP(D74, Product_Master!A:A, Product_Master!A:A, "Invalid")</f>
        <v>P07</v>
      </c>
      <c r="O74" t="str">
        <f t="shared" si="10"/>
        <v>Clean</v>
      </c>
    </row>
    <row r="75" spans="1:15" x14ac:dyDescent="0.55000000000000004">
      <c r="A75">
        <v>1074</v>
      </c>
      <c r="B75" t="s">
        <v>152</v>
      </c>
      <c r="C75" s="5" t="s">
        <v>153</v>
      </c>
      <c r="D75" t="s">
        <v>44</v>
      </c>
      <c r="E75" s="4">
        <v>2</v>
      </c>
      <c r="F75" s="3">
        <v>7532</v>
      </c>
      <c r="G75" s="3">
        <v>15064</v>
      </c>
      <c r="H75" t="s">
        <v>17</v>
      </c>
      <c r="I75" t="s">
        <v>13</v>
      </c>
      <c r="J75" t="str">
        <f t="shared" si="6"/>
        <v>Ok</v>
      </c>
      <c r="K75" t="b">
        <f t="shared" si="7"/>
        <v>0</v>
      </c>
      <c r="L75" t="str">
        <f t="shared" si="8"/>
        <v>CANADA</v>
      </c>
      <c r="M75" t="str">
        <f t="shared" si="9"/>
        <v>Valid</v>
      </c>
      <c r="N75" t="str">
        <f>_xlfn.XLOOKUP(D75, Product_Master!A:A, Product_Master!A:A, "Invalid")</f>
        <v>P11</v>
      </c>
      <c r="O75" t="str">
        <f t="shared" si="10"/>
        <v>Clean</v>
      </c>
    </row>
    <row r="76" spans="1:15" x14ac:dyDescent="0.55000000000000004">
      <c r="A76">
        <v>1075</v>
      </c>
      <c r="B76" t="s">
        <v>154</v>
      </c>
      <c r="C76" s="5" t="s">
        <v>155</v>
      </c>
      <c r="D76" t="s">
        <v>11</v>
      </c>
      <c r="E76" s="4">
        <v>5</v>
      </c>
      <c r="F76" s="3">
        <v>9080</v>
      </c>
      <c r="G76" s="3">
        <v>45400</v>
      </c>
      <c r="H76" t="s">
        <v>22</v>
      </c>
      <c r="I76" t="s">
        <v>55</v>
      </c>
      <c r="J76" t="str">
        <f t="shared" si="6"/>
        <v>Ok</v>
      </c>
      <c r="K76" t="b">
        <f t="shared" si="7"/>
        <v>0</v>
      </c>
      <c r="L76" t="str">
        <f t="shared" si="8"/>
        <v>USA</v>
      </c>
      <c r="M76" t="str">
        <f t="shared" si="9"/>
        <v>Valid</v>
      </c>
      <c r="N76" t="str">
        <f>_xlfn.XLOOKUP(D76, Product_Master!A:A, Product_Master!A:A, "Invalid")</f>
        <v>P05</v>
      </c>
      <c r="O76" t="str">
        <f t="shared" si="10"/>
        <v>Clean</v>
      </c>
    </row>
    <row r="77" spans="1:15" x14ac:dyDescent="0.55000000000000004">
      <c r="A77">
        <v>1076</v>
      </c>
      <c r="B77" t="s">
        <v>156</v>
      </c>
      <c r="C77" s="5" t="s">
        <v>66</v>
      </c>
      <c r="D77" t="s">
        <v>21</v>
      </c>
      <c r="E77" s="4">
        <v>1</v>
      </c>
      <c r="F77" s="3">
        <v>8955</v>
      </c>
      <c r="G77" s="3">
        <v>8955</v>
      </c>
      <c r="H77" t="s">
        <v>12</v>
      </c>
      <c r="I77" t="s">
        <v>55</v>
      </c>
      <c r="J77" t="str">
        <f t="shared" si="6"/>
        <v>Ok</v>
      </c>
      <c r="K77" t="b">
        <f t="shared" si="7"/>
        <v>0</v>
      </c>
      <c r="L77" t="str">
        <f t="shared" si="8"/>
        <v>INDIA</v>
      </c>
      <c r="M77" t="str">
        <f t="shared" si="9"/>
        <v>Valid</v>
      </c>
      <c r="N77" t="str">
        <f>_xlfn.XLOOKUP(D77, Product_Master!A:A, Product_Master!A:A, "Invalid")</f>
        <v>P15</v>
      </c>
      <c r="O77" t="str">
        <f t="shared" si="10"/>
        <v>Clean</v>
      </c>
    </row>
    <row r="78" spans="1:15" x14ac:dyDescent="0.55000000000000004">
      <c r="A78">
        <v>1077</v>
      </c>
      <c r="B78" t="s">
        <v>157</v>
      </c>
      <c r="C78" s="5" t="s">
        <v>68</v>
      </c>
      <c r="D78" t="s">
        <v>35</v>
      </c>
      <c r="E78" s="4">
        <v>2</v>
      </c>
      <c r="F78" s="3">
        <v>5385</v>
      </c>
      <c r="G78" s="3">
        <v>10770</v>
      </c>
      <c r="H78" t="s">
        <v>17</v>
      </c>
      <c r="I78" t="s">
        <v>55</v>
      </c>
      <c r="J78" t="str">
        <f t="shared" si="6"/>
        <v>Ok</v>
      </c>
      <c r="K78" t="b">
        <f t="shared" si="7"/>
        <v>0</v>
      </c>
      <c r="L78" t="str">
        <f t="shared" si="8"/>
        <v>CANADA</v>
      </c>
      <c r="M78" t="str">
        <f t="shared" si="9"/>
        <v>Valid</v>
      </c>
      <c r="N78" t="str">
        <f>_xlfn.XLOOKUP(D78, Product_Master!A:A, Product_Master!A:A, "Invalid")</f>
        <v>P10</v>
      </c>
      <c r="O78" t="str">
        <f t="shared" si="10"/>
        <v>Clean</v>
      </c>
    </row>
    <row r="79" spans="1:15" x14ac:dyDescent="0.55000000000000004">
      <c r="A79">
        <v>1078</v>
      </c>
      <c r="B79" t="s">
        <v>158</v>
      </c>
      <c r="C79" s="5" t="s">
        <v>159</v>
      </c>
      <c r="D79" t="s">
        <v>21</v>
      </c>
      <c r="E79" s="4">
        <v>2</v>
      </c>
      <c r="F79" s="3">
        <v>8799</v>
      </c>
      <c r="G79" s="3">
        <v>17598</v>
      </c>
      <c r="H79" t="s">
        <v>22</v>
      </c>
      <c r="I79" t="s">
        <v>13</v>
      </c>
      <c r="J79" t="str">
        <f t="shared" si="6"/>
        <v>Ok</v>
      </c>
      <c r="K79" t="b">
        <f t="shared" si="7"/>
        <v>0</v>
      </c>
      <c r="L79" t="str">
        <f t="shared" si="8"/>
        <v>USA</v>
      </c>
      <c r="M79" t="str">
        <f t="shared" si="9"/>
        <v>Valid</v>
      </c>
      <c r="N79" t="str">
        <f>_xlfn.XLOOKUP(D79, Product_Master!A:A, Product_Master!A:A, "Invalid")</f>
        <v>P15</v>
      </c>
      <c r="O79" t="str">
        <f t="shared" si="10"/>
        <v>Clean</v>
      </c>
    </row>
    <row r="80" spans="1:15" x14ac:dyDescent="0.55000000000000004">
      <c r="A80">
        <v>1079</v>
      </c>
      <c r="B80" t="s">
        <v>160</v>
      </c>
      <c r="C80" s="5" t="s">
        <v>129</v>
      </c>
      <c r="D80" t="s">
        <v>32</v>
      </c>
      <c r="E80" s="4">
        <v>4</v>
      </c>
      <c r="F80" s="3">
        <v>9657</v>
      </c>
      <c r="G80" s="3">
        <v>38628</v>
      </c>
      <c r="H80" t="s">
        <v>26</v>
      </c>
      <c r="I80" t="s">
        <v>55</v>
      </c>
      <c r="J80" t="str">
        <f t="shared" si="6"/>
        <v>Ok</v>
      </c>
      <c r="K80" t="b">
        <f t="shared" si="7"/>
        <v>0</v>
      </c>
      <c r="L80" t="str">
        <f t="shared" si="8"/>
        <v>UK</v>
      </c>
      <c r="M80" t="str">
        <f t="shared" si="9"/>
        <v>Valid</v>
      </c>
      <c r="N80" t="str">
        <f>_xlfn.XLOOKUP(D80, Product_Master!A:A, Product_Master!A:A, "Invalid")</f>
        <v>P04</v>
      </c>
      <c r="O80" t="str">
        <f t="shared" si="10"/>
        <v>Clean</v>
      </c>
    </row>
    <row r="81" spans="1:15" x14ac:dyDescent="0.55000000000000004">
      <c r="A81">
        <v>1080</v>
      </c>
      <c r="B81" t="s">
        <v>161</v>
      </c>
      <c r="C81" s="5" t="s">
        <v>162</v>
      </c>
      <c r="D81" t="s">
        <v>51</v>
      </c>
      <c r="E81" s="4">
        <v>5</v>
      </c>
      <c r="F81" s="3">
        <v>7957</v>
      </c>
      <c r="G81" s="3">
        <v>39785</v>
      </c>
      <c r="H81" t="s">
        <v>12</v>
      </c>
      <c r="I81" t="s">
        <v>55</v>
      </c>
      <c r="J81" t="str">
        <f t="shared" si="6"/>
        <v>Ok</v>
      </c>
      <c r="K81" t="b">
        <f t="shared" si="7"/>
        <v>0</v>
      </c>
      <c r="L81" t="str">
        <f t="shared" si="8"/>
        <v>INDIA</v>
      </c>
      <c r="M81" t="str">
        <f t="shared" si="9"/>
        <v>Valid</v>
      </c>
      <c r="N81" t="str">
        <f>_xlfn.XLOOKUP(D81, Product_Master!A:A, Product_Master!A:A, "Invalid")</f>
        <v>P01</v>
      </c>
      <c r="O81" t="str">
        <f t="shared" si="10"/>
        <v>Clean</v>
      </c>
    </row>
    <row r="82" spans="1:15" x14ac:dyDescent="0.55000000000000004">
      <c r="A82">
        <v>1081</v>
      </c>
      <c r="B82" t="s">
        <v>163</v>
      </c>
      <c r="C82" s="5" t="s">
        <v>164</v>
      </c>
      <c r="D82" t="s">
        <v>165</v>
      </c>
      <c r="E82" s="4">
        <v>2</v>
      </c>
      <c r="F82" s="3">
        <v>1522</v>
      </c>
      <c r="G82" s="3">
        <v>3044</v>
      </c>
      <c r="H82" t="s">
        <v>12</v>
      </c>
      <c r="I82" t="s">
        <v>13</v>
      </c>
      <c r="J82" t="str">
        <f t="shared" si="6"/>
        <v>Ok</v>
      </c>
      <c r="K82" t="b">
        <f t="shared" si="7"/>
        <v>0</v>
      </c>
      <c r="L82" t="str">
        <f t="shared" si="8"/>
        <v>INDIA</v>
      </c>
      <c r="M82" t="str">
        <f t="shared" si="9"/>
        <v>Valid</v>
      </c>
      <c r="N82" t="str">
        <f>_xlfn.XLOOKUP(D82, Product_Master!A:A, Product_Master!A:A, "Invalid")</f>
        <v>Invalid</v>
      </c>
      <c r="O82" t="str">
        <f t="shared" si="10"/>
        <v>Problem</v>
      </c>
    </row>
    <row r="83" spans="1:15" x14ac:dyDescent="0.55000000000000004">
      <c r="A83">
        <v>1082</v>
      </c>
      <c r="B83" t="s">
        <v>166</v>
      </c>
      <c r="C83" s="5" t="s">
        <v>61</v>
      </c>
      <c r="D83" t="s">
        <v>141</v>
      </c>
      <c r="E83" s="4">
        <v>2</v>
      </c>
      <c r="F83" s="3">
        <v>1715</v>
      </c>
      <c r="G83" s="3">
        <v>3430</v>
      </c>
      <c r="H83" t="s">
        <v>12</v>
      </c>
      <c r="I83" t="s">
        <v>18</v>
      </c>
      <c r="J83" t="str">
        <f t="shared" si="6"/>
        <v>Ok</v>
      </c>
      <c r="K83" t="b">
        <f t="shared" si="7"/>
        <v>0</v>
      </c>
      <c r="L83" t="str">
        <f t="shared" si="8"/>
        <v>INDIA</v>
      </c>
      <c r="M83" t="str">
        <f t="shared" si="9"/>
        <v>Valid</v>
      </c>
      <c r="N83" t="str">
        <f>_xlfn.XLOOKUP(D83, Product_Master!A:A, Product_Master!A:A, "Invalid")</f>
        <v>P14</v>
      </c>
      <c r="O83" t="str">
        <f t="shared" si="10"/>
        <v>Clean</v>
      </c>
    </row>
    <row r="84" spans="1:15" x14ac:dyDescent="0.55000000000000004">
      <c r="A84">
        <v>1083</v>
      </c>
      <c r="B84" t="s">
        <v>167</v>
      </c>
      <c r="C84" s="5" t="s">
        <v>48</v>
      </c>
      <c r="D84" t="s">
        <v>32</v>
      </c>
      <c r="E84" s="4">
        <v>4</v>
      </c>
      <c r="F84" s="3">
        <v>8102</v>
      </c>
      <c r="G84" s="3">
        <v>32408</v>
      </c>
      <c r="H84" t="s">
        <v>12</v>
      </c>
      <c r="I84" t="s">
        <v>55</v>
      </c>
      <c r="J84" t="str">
        <f t="shared" si="6"/>
        <v>Ok</v>
      </c>
      <c r="K84" t="b">
        <f t="shared" si="7"/>
        <v>0</v>
      </c>
      <c r="L84" t="str">
        <f t="shared" si="8"/>
        <v>INDIA</v>
      </c>
      <c r="M84" t="str">
        <f t="shared" si="9"/>
        <v>Valid</v>
      </c>
      <c r="N84" t="str">
        <f>_xlfn.XLOOKUP(D84, Product_Master!A:A, Product_Master!A:A, "Invalid")</f>
        <v>P04</v>
      </c>
      <c r="O84" t="str">
        <f t="shared" si="10"/>
        <v>Clean</v>
      </c>
    </row>
    <row r="85" spans="1:15" x14ac:dyDescent="0.55000000000000004">
      <c r="A85">
        <v>1084</v>
      </c>
      <c r="B85" t="s">
        <v>168</v>
      </c>
      <c r="C85" s="5" t="s">
        <v>28</v>
      </c>
      <c r="D85" t="s">
        <v>81</v>
      </c>
      <c r="E85" s="4">
        <v>2</v>
      </c>
      <c r="F85" s="3">
        <v>649</v>
      </c>
      <c r="G85" s="3">
        <v>1298</v>
      </c>
      <c r="H85" t="s">
        <v>26</v>
      </c>
      <c r="I85" t="s">
        <v>18</v>
      </c>
      <c r="J85" t="str">
        <f t="shared" si="6"/>
        <v>Ok</v>
      </c>
      <c r="K85" t="b">
        <f t="shared" si="7"/>
        <v>0</v>
      </c>
      <c r="L85" t="str">
        <f t="shared" si="8"/>
        <v>UK</v>
      </c>
      <c r="M85" t="str">
        <f t="shared" si="9"/>
        <v>Valid</v>
      </c>
      <c r="N85" t="str">
        <f>_xlfn.XLOOKUP(D85, Product_Master!A:A, Product_Master!A:A, "Invalid")</f>
        <v>P06</v>
      </c>
      <c r="O85" t="str">
        <f t="shared" si="10"/>
        <v>Clean</v>
      </c>
    </row>
    <row r="86" spans="1:15" x14ac:dyDescent="0.55000000000000004">
      <c r="A86">
        <v>1085</v>
      </c>
      <c r="B86" t="s">
        <v>169</v>
      </c>
      <c r="C86" s="5" t="s">
        <v>118</v>
      </c>
      <c r="D86" t="s">
        <v>11</v>
      </c>
      <c r="E86" s="4">
        <v>5</v>
      </c>
      <c r="F86" s="3">
        <v>1578</v>
      </c>
      <c r="G86" s="3">
        <v>7890</v>
      </c>
      <c r="H86" t="s">
        <v>22</v>
      </c>
      <c r="I86" t="s">
        <v>55</v>
      </c>
      <c r="J86" t="str">
        <f t="shared" si="6"/>
        <v>Ok</v>
      </c>
      <c r="K86" t="b">
        <f t="shared" si="7"/>
        <v>0</v>
      </c>
      <c r="L86" t="str">
        <f t="shared" si="8"/>
        <v>USA</v>
      </c>
      <c r="M86" t="str">
        <f t="shared" si="9"/>
        <v>Valid</v>
      </c>
      <c r="N86" t="str">
        <f>_xlfn.XLOOKUP(D86, Product_Master!A:A, Product_Master!A:A, "Invalid")</f>
        <v>P05</v>
      </c>
      <c r="O86" t="str">
        <f t="shared" si="10"/>
        <v>Clean</v>
      </c>
    </row>
    <row r="87" spans="1:15" x14ac:dyDescent="0.55000000000000004">
      <c r="A87">
        <v>1086</v>
      </c>
      <c r="B87" t="s">
        <v>170</v>
      </c>
      <c r="C87" s="5" t="s">
        <v>155</v>
      </c>
      <c r="D87" t="s">
        <v>109</v>
      </c>
      <c r="E87" s="4">
        <v>4</v>
      </c>
      <c r="F87" s="3">
        <v>2030</v>
      </c>
      <c r="G87" s="3">
        <v>8120</v>
      </c>
      <c r="H87" t="s">
        <v>22</v>
      </c>
      <c r="I87" t="s">
        <v>18</v>
      </c>
      <c r="J87" t="str">
        <f t="shared" si="6"/>
        <v>Ok</v>
      </c>
      <c r="K87" t="b">
        <f t="shared" si="7"/>
        <v>0</v>
      </c>
      <c r="L87" t="str">
        <f t="shared" si="8"/>
        <v>USA</v>
      </c>
      <c r="M87" t="str">
        <f t="shared" si="9"/>
        <v>Valid</v>
      </c>
      <c r="N87" t="str">
        <f>_xlfn.XLOOKUP(D87, Product_Master!A:A, Product_Master!A:A, "Invalid")</f>
        <v>P08</v>
      </c>
      <c r="O87" t="str">
        <f t="shared" si="10"/>
        <v>Clean</v>
      </c>
    </row>
    <row r="88" spans="1:15" x14ac:dyDescent="0.55000000000000004">
      <c r="A88">
        <v>1087</v>
      </c>
      <c r="B88" t="s">
        <v>171</v>
      </c>
      <c r="C88" s="5" t="s">
        <v>155</v>
      </c>
      <c r="D88" t="s">
        <v>25</v>
      </c>
      <c r="E88" s="4">
        <v>4</v>
      </c>
      <c r="F88" s="3">
        <v>915</v>
      </c>
      <c r="G88" s="3">
        <v>3660</v>
      </c>
      <c r="H88" t="s">
        <v>17</v>
      </c>
      <c r="I88" t="s">
        <v>55</v>
      </c>
      <c r="J88" t="str">
        <f t="shared" si="6"/>
        <v>Ok</v>
      </c>
      <c r="K88" t="b">
        <f t="shared" si="7"/>
        <v>0</v>
      </c>
      <c r="L88" t="str">
        <f t="shared" si="8"/>
        <v>CANADA</v>
      </c>
      <c r="M88" t="str">
        <f t="shared" si="9"/>
        <v>Valid</v>
      </c>
      <c r="N88" t="str">
        <f>_xlfn.XLOOKUP(D88, Product_Master!A:A, Product_Master!A:A, "Invalid")</f>
        <v>P09</v>
      </c>
      <c r="O88" t="str">
        <f t="shared" si="10"/>
        <v>Clean</v>
      </c>
    </row>
    <row r="89" spans="1:15" x14ac:dyDescent="0.55000000000000004">
      <c r="A89">
        <v>1088</v>
      </c>
      <c r="B89" t="s">
        <v>172</v>
      </c>
      <c r="C89" s="5" t="s">
        <v>66</v>
      </c>
      <c r="D89" t="s">
        <v>59</v>
      </c>
      <c r="E89" s="4">
        <v>5</v>
      </c>
      <c r="F89" s="3">
        <v>2331</v>
      </c>
      <c r="G89" s="3">
        <v>11655</v>
      </c>
      <c r="H89" t="s">
        <v>12</v>
      </c>
      <c r="I89" t="s">
        <v>13</v>
      </c>
      <c r="J89" t="str">
        <f t="shared" si="6"/>
        <v>Ok</v>
      </c>
      <c r="K89" t="b">
        <f t="shared" si="7"/>
        <v>0</v>
      </c>
      <c r="L89" t="str">
        <f t="shared" si="8"/>
        <v>INDIA</v>
      </c>
      <c r="M89" t="str">
        <f t="shared" si="9"/>
        <v>Valid</v>
      </c>
      <c r="N89" t="str">
        <f>_xlfn.XLOOKUP(D89, Product_Master!A:A, Product_Master!A:A, "Invalid")</f>
        <v>P03</v>
      </c>
      <c r="O89" t="str">
        <f t="shared" si="10"/>
        <v>Clean</v>
      </c>
    </row>
    <row r="90" spans="1:15" x14ac:dyDescent="0.55000000000000004">
      <c r="A90">
        <v>1089</v>
      </c>
      <c r="B90" t="s">
        <v>173</v>
      </c>
      <c r="C90" s="5" t="s">
        <v>73</v>
      </c>
      <c r="D90" t="s">
        <v>25</v>
      </c>
      <c r="E90" s="4">
        <v>1</v>
      </c>
      <c r="F90" s="3">
        <v>1222</v>
      </c>
      <c r="G90" s="3">
        <v>1222</v>
      </c>
      <c r="H90" t="s">
        <v>17</v>
      </c>
      <c r="I90" t="s">
        <v>18</v>
      </c>
      <c r="J90" t="str">
        <f t="shared" si="6"/>
        <v>Ok</v>
      </c>
      <c r="K90" t="b">
        <f t="shared" si="7"/>
        <v>0</v>
      </c>
      <c r="L90" t="str">
        <f t="shared" si="8"/>
        <v>CANADA</v>
      </c>
      <c r="M90" t="str">
        <f t="shared" si="9"/>
        <v>Valid</v>
      </c>
      <c r="N90" t="str">
        <f>_xlfn.XLOOKUP(D90, Product_Master!A:A, Product_Master!A:A, "Invalid")</f>
        <v>P09</v>
      </c>
      <c r="O90" t="str">
        <f t="shared" si="10"/>
        <v>Clean</v>
      </c>
    </row>
    <row r="91" spans="1:15" x14ac:dyDescent="0.55000000000000004">
      <c r="A91">
        <v>1090</v>
      </c>
      <c r="B91" t="s">
        <v>174</v>
      </c>
      <c r="C91" s="5" t="s">
        <v>87</v>
      </c>
      <c r="D91" t="s">
        <v>32</v>
      </c>
      <c r="E91" s="4">
        <v>2</v>
      </c>
      <c r="F91" s="3">
        <v>9460</v>
      </c>
      <c r="G91" s="3">
        <v>18920</v>
      </c>
      <c r="H91" t="s">
        <v>12</v>
      </c>
      <c r="I91" t="s">
        <v>13</v>
      </c>
      <c r="J91" t="str">
        <f t="shared" si="6"/>
        <v>Ok</v>
      </c>
      <c r="K91" t="b">
        <f t="shared" si="7"/>
        <v>0</v>
      </c>
      <c r="L91" t="str">
        <f t="shared" si="8"/>
        <v>INDIA</v>
      </c>
      <c r="M91" t="str">
        <f t="shared" si="9"/>
        <v>Valid</v>
      </c>
      <c r="N91" t="str">
        <f>_xlfn.XLOOKUP(D91, Product_Master!A:A, Product_Master!A:A, "Invalid")</f>
        <v>P04</v>
      </c>
      <c r="O91" t="str">
        <f t="shared" si="10"/>
        <v>Clean</v>
      </c>
    </row>
    <row r="92" spans="1:15" x14ac:dyDescent="0.55000000000000004">
      <c r="A92">
        <v>1091</v>
      </c>
      <c r="B92" t="s">
        <v>175</v>
      </c>
      <c r="C92" s="5" t="s">
        <v>97</v>
      </c>
      <c r="D92" t="s">
        <v>44</v>
      </c>
      <c r="E92" s="4">
        <v>4</v>
      </c>
      <c r="F92" s="3">
        <v>2317</v>
      </c>
      <c r="G92" s="3">
        <v>9268</v>
      </c>
      <c r="H92" t="s">
        <v>22</v>
      </c>
      <c r="I92" t="s">
        <v>176</v>
      </c>
      <c r="J92" t="str">
        <f t="shared" si="6"/>
        <v>Ok</v>
      </c>
      <c r="K92" t="b">
        <f t="shared" si="7"/>
        <v>0</v>
      </c>
      <c r="L92" t="str">
        <f t="shared" si="8"/>
        <v>USA</v>
      </c>
      <c r="M92" t="str">
        <f t="shared" si="9"/>
        <v>Invalid</v>
      </c>
      <c r="N92" t="str">
        <f>_xlfn.XLOOKUP(D92, Product_Master!A:A, Product_Master!A:A, "Invalid")</f>
        <v>P11</v>
      </c>
      <c r="O92" t="str">
        <f t="shared" si="10"/>
        <v>Problem</v>
      </c>
    </row>
    <row r="93" spans="1:15" x14ac:dyDescent="0.55000000000000004">
      <c r="A93">
        <v>1092</v>
      </c>
      <c r="B93" t="s">
        <v>177</v>
      </c>
      <c r="C93" s="5" t="s">
        <v>155</v>
      </c>
      <c r="D93" t="s">
        <v>29</v>
      </c>
      <c r="E93" s="4">
        <v>1</v>
      </c>
      <c r="F93" s="3">
        <v>1535</v>
      </c>
      <c r="G93" s="3">
        <v>1535</v>
      </c>
      <c r="H93" t="s">
        <v>12</v>
      </c>
      <c r="I93" t="s">
        <v>18</v>
      </c>
      <c r="J93" t="str">
        <f t="shared" si="6"/>
        <v>Ok</v>
      </c>
      <c r="K93" t="b">
        <f t="shared" si="7"/>
        <v>0</v>
      </c>
      <c r="L93" t="str">
        <f t="shared" si="8"/>
        <v>INDIA</v>
      </c>
      <c r="M93" t="str">
        <f t="shared" si="9"/>
        <v>Valid</v>
      </c>
      <c r="N93" t="str">
        <f>_xlfn.XLOOKUP(D93, Product_Master!A:A, Product_Master!A:A, "Invalid")</f>
        <v>P13</v>
      </c>
      <c r="O93" t="str">
        <f t="shared" si="10"/>
        <v>Clean</v>
      </c>
    </row>
    <row r="94" spans="1:15" x14ac:dyDescent="0.55000000000000004">
      <c r="A94">
        <v>1093</v>
      </c>
      <c r="B94" t="s">
        <v>178</v>
      </c>
      <c r="C94" s="5" t="s">
        <v>120</v>
      </c>
      <c r="D94" t="s">
        <v>32</v>
      </c>
      <c r="E94" s="4">
        <v>3</v>
      </c>
      <c r="F94" s="3">
        <v>3449</v>
      </c>
      <c r="G94" s="3">
        <v>10347</v>
      </c>
      <c r="H94" t="s">
        <v>17</v>
      </c>
      <c r="I94" t="s">
        <v>55</v>
      </c>
      <c r="J94" t="str">
        <f t="shared" si="6"/>
        <v>Ok</v>
      </c>
      <c r="K94" t="b">
        <f t="shared" si="7"/>
        <v>0</v>
      </c>
      <c r="L94" t="str">
        <f t="shared" si="8"/>
        <v>CANADA</v>
      </c>
      <c r="M94" t="str">
        <f t="shared" si="9"/>
        <v>Valid</v>
      </c>
      <c r="N94" t="str">
        <f>_xlfn.XLOOKUP(D94, Product_Master!A:A, Product_Master!A:A, "Invalid")</f>
        <v>P04</v>
      </c>
      <c r="O94" t="str">
        <f t="shared" si="10"/>
        <v>Clean</v>
      </c>
    </row>
    <row r="95" spans="1:15" x14ac:dyDescent="0.55000000000000004">
      <c r="A95">
        <v>1094</v>
      </c>
      <c r="B95" t="s">
        <v>179</v>
      </c>
      <c r="C95" s="5" t="s">
        <v>180</v>
      </c>
      <c r="D95" t="s">
        <v>81</v>
      </c>
      <c r="E95" s="4">
        <v>1</v>
      </c>
      <c r="F95" s="3">
        <v>9152</v>
      </c>
      <c r="G95" s="3">
        <v>9152</v>
      </c>
      <c r="H95" t="s">
        <v>22</v>
      </c>
      <c r="I95" t="s">
        <v>18</v>
      </c>
      <c r="J95" t="str">
        <f t="shared" si="6"/>
        <v>Ok</v>
      </c>
      <c r="K95" t="b">
        <f t="shared" si="7"/>
        <v>0</v>
      </c>
      <c r="L95" t="str">
        <f t="shared" si="8"/>
        <v>USA</v>
      </c>
      <c r="M95" t="str">
        <f t="shared" si="9"/>
        <v>Valid</v>
      </c>
      <c r="N95" t="str">
        <f>_xlfn.XLOOKUP(D95, Product_Master!A:A, Product_Master!A:A, "Invalid")</f>
        <v>P06</v>
      </c>
      <c r="O95" t="str">
        <f t="shared" si="10"/>
        <v>Clean</v>
      </c>
    </row>
    <row r="96" spans="1:15" x14ac:dyDescent="0.55000000000000004">
      <c r="A96">
        <v>1095</v>
      </c>
      <c r="B96" t="s">
        <v>181</v>
      </c>
      <c r="C96" s="5" t="s">
        <v>143</v>
      </c>
      <c r="D96" t="s">
        <v>39</v>
      </c>
      <c r="E96" s="4">
        <v>4</v>
      </c>
      <c r="F96" s="3">
        <v>1183</v>
      </c>
      <c r="G96" s="3">
        <v>4732</v>
      </c>
      <c r="H96" t="s">
        <v>12</v>
      </c>
      <c r="I96" t="s">
        <v>55</v>
      </c>
      <c r="J96" t="str">
        <f t="shared" si="6"/>
        <v>Ok</v>
      </c>
      <c r="K96" t="b">
        <f t="shared" si="7"/>
        <v>0</v>
      </c>
      <c r="L96" t="str">
        <f t="shared" si="8"/>
        <v>INDIA</v>
      </c>
      <c r="M96" t="str">
        <f t="shared" si="9"/>
        <v>Valid</v>
      </c>
      <c r="N96" t="str">
        <f>_xlfn.XLOOKUP(D96, Product_Master!A:A, Product_Master!A:A, "Invalid")</f>
        <v>P12</v>
      </c>
      <c r="O96" t="str">
        <f t="shared" si="10"/>
        <v>Clean</v>
      </c>
    </row>
    <row r="97" spans="1:15" x14ac:dyDescent="0.55000000000000004">
      <c r="A97">
        <v>1096</v>
      </c>
      <c r="B97" t="s">
        <v>182</v>
      </c>
      <c r="C97" s="5" t="s">
        <v>37</v>
      </c>
      <c r="D97" t="s">
        <v>21</v>
      </c>
      <c r="E97" s="4">
        <v>2</v>
      </c>
      <c r="F97" s="3">
        <v>5024</v>
      </c>
      <c r="G97" s="3">
        <v>10048</v>
      </c>
      <c r="H97" t="s">
        <v>26</v>
      </c>
      <c r="I97" t="s">
        <v>18</v>
      </c>
      <c r="J97" t="str">
        <f t="shared" si="6"/>
        <v>Ok</v>
      </c>
      <c r="K97" t="b">
        <f t="shared" si="7"/>
        <v>0</v>
      </c>
      <c r="L97" t="str">
        <f t="shared" si="8"/>
        <v>UK</v>
      </c>
      <c r="M97" t="str">
        <f t="shared" si="9"/>
        <v>Valid</v>
      </c>
      <c r="N97" t="str">
        <f>_xlfn.XLOOKUP(D97, Product_Master!A:A, Product_Master!A:A, "Invalid")</f>
        <v>P15</v>
      </c>
      <c r="O97" t="str">
        <f t="shared" si="10"/>
        <v>Clean</v>
      </c>
    </row>
    <row r="98" spans="1:15" x14ac:dyDescent="0.55000000000000004">
      <c r="A98">
        <v>1097</v>
      </c>
      <c r="B98" t="s">
        <v>183</v>
      </c>
      <c r="C98" s="5" t="s">
        <v>83</v>
      </c>
      <c r="D98" t="s">
        <v>39</v>
      </c>
      <c r="E98" s="4">
        <v>1</v>
      </c>
      <c r="F98" s="3">
        <v>5675</v>
      </c>
      <c r="G98" s="3">
        <v>5675</v>
      </c>
      <c r="H98" t="s">
        <v>17</v>
      </c>
      <c r="I98" t="s">
        <v>18</v>
      </c>
      <c r="J98" t="str">
        <f t="shared" si="6"/>
        <v>Ok</v>
      </c>
      <c r="K98" t="b">
        <f t="shared" si="7"/>
        <v>0</v>
      </c>
      <c r="L98" t="str">
        <f t="shared" si="8"/>
        <v>CANADA</v>
      </c>
      <c r="M98" t="str">
        <f t="shared" si="9"/>
        <v>Valid</v>
      </c>
      <c r="N98" t="str">
        <f>_xlfn.XLOOKUP(D98, Product_Master!A:A, Product_Master!A:A, "Invalid")</f>
        <v>P12</v>
      </c>
      <c r="O98" t="str">
        <f t="shared" si="10"/>
        <v>Clean</v>
      </c>
    </row>
    <row r="99" spans="1:15" x14ac:dyDescent="0.55000000000000004">
      <c r="A99">
        <v>1098</v>
      </c>
      <c r="B99" t="s">
        <v>184</v>
      </c>
      <c r="C99" s="5" t="s">
        <v>125</v>
      </c>
      <c r="D99" t="s">
        <v>39</v>
      </c>
      <c r="E99" s="4">
        <v>4</v>
      </c>
      <c r="F99" s="3">
        <v>6971</v>
      </c>
      <c r="G99" s="3">
        <v>27884</v>
      </c>
      <c r="H99" t="s">
        <v>17</v>
      </c>
      <c r="I99" t="s">
        <v>18</v>
      </c>
      <c r="J99" t="str">
        <f t="shared" si="6"/>
        <v>Ok</v>
      </c>
      <c r="K99" t="b">
        <f t="shared" si="7"/>
        <v>0</v>
      </c>
      <c r="L99" t="str">
        <f t="shared" si="8"/>
        <v>CANADA</v>
      </c>
      <c r="M99" t="str">
        <f t="shared" si="9"/>
        <v>Valid</v>
      </c>
      <c r="N99" t="str">
        <f>_xlfn.XLOOKUP(D99, Product_Master!A:A, Product_Master!A:A, "Invalid")</f>
        <v>P12</v>
      </c>
      <c r="O99" t="str">
        <f t="shared" si="10"/>
        <v>Clean</v>
      </c>
    </row>
    <row r="100" spans="1:15" x14ac:dyDescent="0.55000000000000004">
      <c r="A100">
        <v>1099</v>
      </c>
      <c r="B100" t="s">
        <v>185</v>
      </c>
      <c r="C100" s="5" t="s">
        <v>159</v>
      </c>
      <c r="D100" t="s">
        <v>25</v>
      </c>
      <c r="E100" s="4">
        <v>4</v>
      </c>
      <c r="F100" s="3">
        <v>4085</v>
      </c>
      <c r="G100" s="3">
        <v>16340</v>
      </c>
      <c r="H100" t="s">
        <v>12</v>
      </c>
      <c r="I100" t="s">
        <v>55</v>
      </c>
      <c r="J100" t="str">
        <f t="shared" si="6"/>
        <v>Ok</v>
      </c>
      <c r="K100" t="b">
        <f t="shared" si="7"/>
        <v>0</v>
      </c>
      <c r="L100" t="str">
        <f t="shared" si="8"/>
        <v>INDIA</v>
      </c>
      <c r="M100" t="str">
        <f t="shared" si="9"/>
        <v>Valid</v>
      </c>
      <c r="N100" t="str">
        <f>_xlfn.XLOOKUP(D100, Product_Master!A:A, Product_Master!A:A, "Invalid")</f>
        <v>P09</v>
      </c>
      <c r="O100" t="str">
        <f t="shared" si="10"/>
        <v>Clean</v>
      </c>
    </row>
    <row r="101" spans="1:15" x14ac:dyDescent="0.55000000000000004">
      <c r="A101">
        <v>1100</v>
      </c>
      <c r="B101" t="s">
        <v>186</v>
      </c>
      <c r="C101" s="5" t="s">
        <v>129</v>
      </c>
      <c r="D101" t="s">
        <v>109</v>
      </c>
      <c r="E101" s="4">
        <v>1</v>
      </c>
      <c r="F101" s="3">
        <v>9224</v>
      </c>
      <c r="G101" s="3">
        <v>9224</v>
      </c>
      <c r="H101" t="s">
        <v>22</v>
      </c>
      <c r="I101" t="s">
        <v>55</v>
      </c>
      <c r="J101" t="str">
        <f t="shared" si="6"/>
        <v>Ok</v>
      </c>
      <c r="K101" t="b">
        <f t="shared" si="7"/>
        <v>0</v>
      </c>
      <c r="L101" t="str">
        <f t="shared" si="8"/>
        <v>USA</v>
      </c>
      <c r="M101" t="str">
        <f t="shared" si="9"/>
        <v>Valid</v>
      </c>
      <c r="N101" t="str">
        <f>_xlfn.XLOOKUP(D101, Product_Master!A:A, Product_Master!A:A, "Invalid")</f>
        <v>P08</v>
      </c>
      <c r="O101" t="str">
        <f t="shared" si="10"/>
        <v>Clean</v>
      </c>
    </row>
    <row r="102" spans="1:15" x14ac:dyDescent="0.55000000000000004">
      <c r="A102">
        <v>1101</v>
      </c>
      <c r="B102" t="s">
        <v>187</v>
      </c>
      <c r="C102" s="5" t="s">
        <v>34</v>
      </c>
      <c r="D102" t="s">
        <v>11</v>
      </c>
      <c r="E102" s="4">
        <v>1</v>
      </c>
      <c r="F102" s="3">
        <v>778</v>
      </c>
      <c r="G102" s="3">
        <v>778</v>
      </c>
      <c r="H102" t="s">
        <v>17</v>
      </c>
      <c r="I102" t="s">
        <v>188</v>
      </c>
      <c r="J102" t="str">
        <f t="shared" si="6"/>
        <v>Ok</v>
      </c>
      <c r="K102" t="b">
        <f t="shared" si="7"/>
        <v>0</v>
      </c>
      <c r="L102" t="str">
        <f t="shared" si="8"/>
        <v>CANADA</v>
      </c>
      <c r="M102" t="str">
        <f t="shared" si="9"/>
        <v>Invalid</v>
      </c>
      <c r="N102" t="str">
        <f>_xlfn.XLOOKUP(D102, Product_Master!A:A, Product_Master!A:A, "Invalid")</f>
        <v>P05</v>
      </c>
      <c r="O102" t="str">
        <f t="shared" si="10"/>
        <v>Problem</v>
      </c>
    </row>
    <row r="103" spans="1:15" x14ac:dyDescent="0.55000000000000004">
      <c r="A103">
        <v>1102</v>
      </c>
      <c r="B103" t="s">
        <v>189</v>
      </c>
      <c r="C103" s="5" t="s">
        <v>129</v>
      </c>
      <c r="D103" t="s">
        <v>145</v>
      </c>
      <c r="E103" s="4">
        <v>4</v>
      </c>
      <c r="F103" s="3">
        <v>5254</v>
      </c>
      <c r="G103" s="3">
        <v>21016</v>
      </c>
      <c r="H103" t="s">
        <v>26</v>
      </c>
      <c r="I103" t="s">
        <v>18</v>
      </c>
      <c r="J103" t="str">
        <f t="shared" si="6"/>
        <v>Ok</v>
      </c>
      <c r="K103" t="b">
        <f t="shared" si="7"/>
        <v>0</v>
      </c>
      <c r="L103" t="str">
        <f t="shared" si="8"/>
        <v>UK</v>
      </c>
      <c r="M103" t="str">
        <f t="shared" si="9"/>
        <v>Valid</v>
      </c>
      <c r="N103" t="str">
        <f>_xlfn.XLOOKUP(D103, Product_Master!A:A, Product_Master!A:A, "Invalid")</f>
        <v>P02</v>
      </c>
      <c r="O103" t="str">
        <f t="shared" si="10"/>
        <v>Clean</v>
      </c>
    </row>
    <row r="104" spans="1:15" x14ac:dyDescent="0.55000000000000004">
      <c r="A104">
        <v>1103</v>
      </c>
      <c r="B104" t="s">
        <v>190</v>
      </c>
      <c r="C104" s="5" t="s">
        <v>31</v>
      </c>
      <c r="D104" t="s">
        <v>11</v>
      </c>
      <c r="E104" s="4">
        <v>2</v>
      </c>
      <c r="F104" s="3">
        <v>1575</v>
      </c>
      <c r="G104" s="3">
        <v>3150</v>
      </c>
      <c r="H104" t="s">
        <v>12</v>
      </c>
      <c r="I104" t="s">
        <v>13</v>
      </c>
      <c r="J104" t="str">
        <f t="shared" si="6"/>
        <v>Ok</v>
      </c>
      <c r="K104" t="b">
        <f t="shared" si="7"/>
        <v>0</v>
      </c>
      <c r="L104" t="str">
        <f t="shared" si="8"/>
        <v>INDIA</v>
      </c>
      <c r="M104" t="str">
        <f t="shared" si="9"/>
        <v>Valid</v>
      </c>
      <c r="N104" t="str">
        <f>_xlfn.XLOOKUP(D104, Product_Master!A:A, Product_Master!A:A, "Invalid")</f>
        <v>P05</v>
      </c>
      <c r="O104" t="str">
        <f t="shared" si="10"/>
        <v>Clean</v>
      </c>
    </row>
    <row r="105" spans="1:15" x14ac:dyDescent="0.55000000000000004">
      <c r="A105">
        <v>1104</v>
      </c>
      <c r="B105" t="s">
        <v>191</v>
      </c>
      <c r="C105" s="5" t="s">
        <v>83</v>
      </c>
      <c r="D105" t="s">
        <v>44</v>
      </c>
      <c r="E105" s="4">
        <v>4</v>
      </c>
      <c r="F105" s="3">
        <v>8998</v>
      </c>
      <c r="G105" s="3">
        <v>35992</v>
      </c>
      <c r="H105" t="s">
        <v>12</v>
      </c>
      <c r="I105" t="s">
        <v>55</v>
      </c>
      <c r="J105" t="str">
        <f t="shared" si="6"/>
        <v>Ok</v>
      </c>
      <c r="K105" t="b">
        <f t="shared" si="7"/>
        <v>0</v>
      </c>
      <c r="L105" t="str">
        <f t="shared" si="8"/>
        <v>INDIA</v>
      </c>
      <c r="M105" t="str">
        <f t="shared" si="9"/>
        <v>Valid</v>
      </c>
      <c r="N105" t="str">
        <f>_xlfn.XLOOKUP(D105, Product_Master!A:A, Product_Master!A:A, "Invalid")</f>
        <v>P11</v>
      </c>
      <c r="O105" t="str">
        <f t="shared" si="10"/>
        <v>Clean</v>
      </c>
    </row>
    <row r="106" spans="1:15" x14ac:dyDescent="0.55000000000000004">
      <c r="A106">
        <v>1105</v>
      </c>
      <c r="B106" t="s">
        <v>192</v>
      </c>
      <c r="C106" s="5" t="s">
        <v>193</v>
      </c>
      <c r="D106" t="s">
        <v>29</v>
      </c>
      <c r="E106" s="4">
        <v>3</v>
      </c>
      <c r="F106" s="3">
        <v>6515</v>
      </c>
      <c r="G106" s="3">
        <v>19545</v>
      </c>
      <c r="H106" t="s">
        <v>26</v>
      </c>
      <c r="I106" t="s">
        <v>55</v>
      </c>
      <c r="J106" t="str">
        <f t="shared" si="6"/>
        <v>Ok</v>
      </c>
      <c r="K106" t="b">
        <f t="shared" si="7"/>
        <v>0</v>
      </c>
      <c r="L106" t="str">
        <f t="shared" si="8"/>
        <v>UK</v>
      </c>
      <c r="M106" t="str">
        <f t="shared" si="9"/>
        <v>Valid</v>
      </c>
      <c r="N106" t="str">
        <f>_xlfn.XLOOKUP(D106, Product_Master!A:A, Product_Master!A:A, "Invalid")</f>
        <v>P13</v>
      </c>
      <c r="O106" t="str">
        <f t="shared" si="10"/>
        <v>Clean</v>
      </c>
    </row>
    <row r="107" spans="1:15" x14ac:dyDescent="0.55000000000000004">
      <c r="A107">
        <v>1106</v>
      </c>
      <c r="B107" t="s">
        <v>194</v>
      </c>
      <c r="C107" s="5" t="s">
        <v>20</v>
      </c>
      <c r="D107" t="s">
        <v>59</v>
      </c>
      <c r="E107" s="4">
        <v>2</v>
      </c>
      <c r="F107" s="3">
        <v>3875</v>
      </c>
      <c r="G107" s="3">
        <v>7750</v>
      </c>
      <c r="H107" t="s">
        <v>17</v>
      </c>
      <c r="I107" t="s">
        <v>55</v>
      </c>
      <c r="J107" t="str">
        <f t="shared" si="6"/>
        <v>Ok</v>
      </c>
      <c r="K107" t="b">
        <f t="shared" si="7"/>
        <v>0</v>
      </c>
      <c r="L107" t="str">
        <f t="shared" si="8"/>
        <v>CANADA</v>
      </c>
      <c r="M107" t="str">
        <f t="shared" si="9"/>
        <v>Valid</v>
      </c>
      <c r="N107" t="str">
        <f>_xlfn.XLOOKUP(D107, Product_Master!A:A, Product_Master!A:A, "Invalid")</f>
        <v>P03</v>
      </c>
      <c r="O107" t="str">
        <f t="shared" si="10"/>
        <v>Clean</v>
      </c>
    </row>
    <row r="108" spans="1:15" x14ac:dyDescent="0.55000000000000004">
      <c r="A108">
        <v>1107</v>
      </c>
      <c r="B108" t="s">
        <v>195</v>
      </c>
      <c r="C108" s="5" t="s">
        <v>196</v>
      </c>
      <c r="D108" t="s">
        <v>21</v>
      </c>
      <c r="E108" s="4">
        <v>4</v>
      </c>
      <c r="F108" s="3">
        <v>7328</v>
      </c>
      <c r="G108" s="3">
        <v>29312</v>
      </c>
      <c r="H108" t="s">
        <v>26</v>
      </c>
      <c r="I108" t="s">
        <v>18</v>
      </c>
      <c r="J108" t="str">
        <f t="shared" si="6"/>
        <v>Ok</v>
      </c>
      <c r="K108" t="b">
        <f t="shared" si="7"/>
        <v>0</v>
      </c>
      <c r="L108" t="str">
        <f t="shared" si="8"/>
        <v>UK</v>
      </c>
      <c r="M108" t="str">
        <f t="shared" si="9"/>
        <v>Valid</v>
      </c>
      <c r="N108" t="str">
        <f>_xlfn.XLOOKUP(D108, Product_Master!A:A, Product_Master!A:A, "Invalid")</f>
        <v>P15</v>
      </c>
      <c r="O108" t="str">
        <f t="shared" si="10"/>
        <v>Clean</v>
      </c>
    </row>
    <row r="109" spans="1:15" x14ac:dyDescent="0.55000000000000004">
      <c r="A109">
        <v>1108</v>
      </c>
      <c r="B109" t="s">
        <v>197</v>
      </c>
      <c r="C109" s="5" t="s">
        <v>180</v>
      </c>
      <c r="D109" t="s">
        <v>21</v>
      </c>
      <c r="E109" s="4">
        <v>5</v>
      </c>
      <c r="F109" s="3">
        <v>4486</v>
      </c>
      <c r="G109" s="3">
        <v>22430</v>
      </c>
      <c r="H109" t="s">
        <v>12</v>
      </c>
      <c r="I109" t="s">
        <v>55</v>
      </c>
      <c r="J109" t="str">
        <f t="shared" si="6"/>
        <v>Ok</v>
      </c>
      <c r="K109" t="b">
        <f t="shared" si="7"/>
        <v>0</v>
      </c>
      <c r="L109" t="str">
        <f t="shared" si="8"/>
        <v>INDIA</v>
      </c>
      <c r="M109" t="str">
        <f t="shared" si="9"/>
        <v>Valid</v>
      </c>
      <c r="N109" t="str">
        <f>_xlfn.XLOOKUP(D109, Product_Master!A:A, Product_Master!A:A, "Invalid")</f>
        <v>P15</v>
      </c>
      <c r="O109" t="str">
        <f t="shared" si="10"/>
        <v>Clean</v>
      </c>
    </row>
    <row r="110" spans="1:15" x14ac:dyDescent="0.55000000000000004">
      <c r="A110">
        <v>1109</v>
      </c>
      <c r="B110" t="s">
        <v>198</v>
      </c>
      <c r="C110" s="5" t="s">
        <v>125</v>
      </c>
      <c r="D110" t="s">
        <v>44</v>
      </c>
      <c r="E110" s="4">
        <v>4</v>
      </c>
      <c r="F110" s="3">
        <v>4172</v>
      </c>
      <c r="G110" s="3">
        <v>16688</v>
      </c>
      <c r="H110" t="s">
        <v>12</v>
      </c>
      <c r="I110" t="s">
        <v>18</v>
      </c>
      <c r="J110" t="str">
        <f t="shared" si="6"/>
        <v>Ok</v>
      </c>
      <c r="K110" t="b">
        <f t="shared" si="7"/>
        <v>0</v>
      </c>
      <c r="L110" t="str">
        <f t="shared" si="8"/>
        <v>INDIA</v>
      </c>
      <c r="M110" t="str">
        <f t="shared" si="9"/>
        <v>Valid</v>
      </c>
      <c r="N110" t="str">
        <f>_xlfn.XLOOKUP(D110, Product_Master!A:A, Product_Master!A:A, "Invalid")</f>
        <v>P11</v>
      </c>
      <c r="O110" t="str">
        <f t="shared" si="10"/>
        <v>Clean</v>
      </c>
    </row>
    <row r="111" spans="1:15" x14ac:dyDescent="0.55000000000000004">
      <c r="A111">
        <v>1110</v>
      </c>
      <c r="B111" t="s">
        <v>199</v>
      </c>
      <c r="C111" s="5" t="s">
        <v>143</v>
      </c>
      <c r="D111" t="s">
        <v>25</v>
      </c>
      <c r="E111" s="4">
        <v>4</v>
      </c>
      <c r="F111" s="3">
        <v>5296</v>
      </c>
      <c r="G111" s="3">
        <v>21184</v>
      </c>
      <c r="H111" t="s">
        <v>26</v>
      </c>
      <c r="I111" t="s">
        <v>13</v>
      </c>
      <c r="J111" t="str">
        <f t="shared" si="6"/>
        <v>Ok</v>
      </c>
      <c r="K111" t="b">
        <f t="shared" si="7"/>
        <v>0</v>
      </c>
      <c r="L111" t="str">
        <f t="shared" si="8"/>
        <v>UK</v>
      </c>
      <c r="M111" t="str">
        <f t="shared" si="9"/>
        <v>Valid</v>
      </c>
      <c r="N111" t="str">
        <f>_xlfn.XLOOKUP(D111, Product_Master!A:A, Product_Master!A:A, "Invalid")</f>
        <v>P09</v>
      </c>
      <c r="O111" t="str">
        <f t="shared" si="10"/>
        <v>Clean</v>
      </c>
    </row>
    <row r="112" spans="1:15" x14ac:dyDescent="0.55000000000000004">
      <c r="A112">
        <v>1111</v>
      </c>
      <c r="B112" t="s">
        <v>200</v>
      </c>
      <c r="C112" s="5" t="s">
        <v>201</v>
      </c>
      <c r="D112" t="s">
        <v>81</v>
      </c>
      <c r="E112" s="4">
        <v>2</v>
      </c>
      <c r="F112" s="3">
        <v>3772</v>
      </c>
      <c r="G112" s="3">
        <v>7544</v>
      </c>
      <c r="H112" t="s">
        <v>26</v>
      </c>
      <c r="I112" t="s">
        <v>18</v>
      </c>
      <c r="J112" t="str">
        <f t="shared" si="6"/>
        <v>Ok</v>
      </c>
      <c r="K112" t="b">
        <f t="shared" si="7"/>
        <v>0</v>
      </c>
      <c r="L112" t="str">
        <f t="shared" si="8"/>
        <v>UK</v>
      </c>
      <c r="M112" t="str">
        <f t="shared" si="9"/>
        <v>Valid</v>
      </c>
      <c r="N112" t="str">
        <f>_xlfn.XLOOKUP(D112, Product_Master!A:A, Product_Master!A:A, "Invalid")</f>
        <v>P06</v>
      </c>
      <c r="O112" t="str">
        <f t="shared" si="10"/>
        <v>Clean</v>
      </c>
    </row>
    <row r="113" spans="1:15" x14ac:dyDescent="0.55000000000000004">
      <c r="A113">
        <v>1112</v>
      </c>
      <c r="B113" t="s">
        <v>202</v>
      </c>
      <c r="C113" s="5" t="s">
        <v>85</v>
      </c>
      <c r="D113" t="s">
        <v>39</v>
      </c>
      <c r="E113" s="4">
        <v>1</v>
      </c>
      <c r="F113" s="3">
        <v>5661</v>
      </c>
      <c r="G113" s="3">
        <v>5661</v>
      </c>
      <c r="H113" t="s">
        <v>26</v>
      </c>
      <c r="I113" t="s">
        <v>13</v>
      </c>
      <c r="J113" t="str">
        <f t="shared" si="6"/>
        <v>Ok</v>
      </c>
      <c r="K113" t="b">
        <f t="shared" si="7"/>
        <v>0</v>
      </c>
      <c r="L113" t="str">
        <f t="shared" si="8"/>
        <v>UK</v>
      </c>
      <c r="M113" t="str">
        <f t="shared" si="9"/>
        <v>Valid</v>
      </c>
      <c r="N113" t="str">
        <f>_xlfn.XLOOKUP(D113, Product_Master!A:A, Product_Master!A:A, "Invalid")</f>
        <v>P12</v>
      </c>
      <c r="O113" t="str">
        <f t="shared" si="10"/>
        <v>Clean</v>
      </c>
    </row>
    <row r="114" spans="1:15" x14ac:dyDescent="0.55000000000000004">
      <c r="A114">
        <v>1113</v>
      </c>
      <c r="B114" t="s">
        <v>203</v>
      </c>
      <c r="C114" s="5" t="s">
        <v>99</v>
      </c>
      <c r="D114" t="s">
        <v>59</v>
      </c>
      <c r="E114" s="4">
        <v>2</v>
      </c>
      <c r="F114" s="3">
        <v>5773</v>
      </c>
      <c r="G114" s="3">
        <v>11546</v>
      </c>
      <c r="H114" t="s">
        <v>22</v>
      </c>
      <c r="I114" t="s">
        <v>55</v>
      </c>
      <c r="J114" t="str">
        <f t="shared" si="6"/>
        <v>Ok</v>
      </c>
      <c r="K114" t="b">
        <f t="shared" si="7"/>
        <v>0</v>
      </c>
      <c r="L114" t="str">
        <f t="shared" si="8"/>
        <v>USA</v>
      </c>
      <c r="M114" t="str">
        <f t="shared" si="9"/>
        <v>Valid</v>
      </c>
      <c r="N114" t="str">
        <f>_xlfn.XLOOKUP(D114, Product_Master!A:A, Product_Master!A:A, "Invalid")</f>
        <v>P03</v>
      </c>
      <c r="O114" t="str">
        <f t="shared" si="10"/>
        <v>Clean</v>
      </c>
    </row>
    <row r="115" spans="1:15" x14ac:dyDescent="0.55000000000000004">
      <c r="A115">
        <v>1114</v>
      </c>
      <c r="B115" t="s">
        <v>204</v>
      </c>
      <c r="C115" s="5" t="s">
        <v>83</v>
      </c>
      <c r="D115" t="s">
        <v>44</v>
      </c>
      <c r="E115" s="4">
        <v>2</v>
      </c>
      <c r="F115" s="3">
        <v>641</v>
      </c>
      <c r="G115" s="3">
        <v>1282</v>
      </c>
      <c r="H115" t="s">
        <v>22</v>
      </c>
      <c r="I115" t="s">
        <v>13</v>
      </c>
      <c r="J115" t="str">
        <f t="shared" si="6"/>
        <v>Ok</v>
      </c>
      <c r="K115" t="b">
        <f t="shared" si="7"/>
        <v>0</v>
      </c>
      <c r="L115" t="str">
        <f t="shared" si="8"/>
        <v>USA</v>
      </c>
      <c r="M115" t="str">
        <f t="shared" si="9"/>
        <v>Valid</v>
      </c>
      <c r="N115" t="str">
        <f>_xlfn.XLOOKUP(D115, Product_Master!A:A, Product_Master!A:A, "Invalid")</f>
        <v>P11</v>
      </c>
      <c r="O115" t="str">
        <f t="shared" si="10"/>
        <v>Clean</v>
      </c>
    </row>
    <row r="116" spans="1:15" x14ac:dyDescent="0.55000000000000004">
      <c r="A116">
        <v>1115</v>
      </c>
      <c r="B116" t="s">
        <v>205</v>
      </c>
      <c r="C116" s="5" t="s">
        <v>85</v>
      </c>
      <c r="D116" t="s">
        <v>51</v>
      </c>
      <c r="E116" s="4">
        <v>5</v>
      </c>
      <c r="F116" s="3">
        <v>2337</v>
      </c>
      <c r="G116" s="3">
        <v>11685</v>
      </c>
      <c r="H116" t="s">
        <v>26</v>
      </c>
      <c r="I116" t="s">
        <v>55</v>
      </c>
      <c r="J116" t="str">
        <f t="shared" si="6"/>
        <v>Ok</v>
      </c>
      <c r="K116" t="b">
        <f t="shared" si="7"/>
        <v>0</v>
      </c>
      <c r="L116" t="str">
        <f t="shared" si="8"/>
        <v>UK</v>
      </c>
      <c r="M116" t="str">
        <f t="shared" si="9"/>
        <v>Valid</v>
      </c>
      <c r="N116" t="str">
        <f>_xlfn.XLOOKUP(D116, Product_Master!A:A, Product_Master!A:A, "Invalid")</f>
        <v>P01</v>
      </c>
      <c r="O116" t="str">
        <f t="shared" si="10"/>
        <v>Clean</v>
      </c>
    </row>
    <row r="117" spans="1:15" x14ac:dyDescent="0.55000000000000004">
      <c r="A117">
        <v>1116</v>
      </c>
      <c r="B117" t="s">
        <v>206</v>
      </c>
      <c r="C117" s="5" t="s">
        <v>73</v>
      </c>
      <c r="D117" t="s">
        <v>29</v>
      </c>
      <c r="E117" s="4">
        <v>1</v>
      </c>
      <c r="F117" s="3">
        <v>3174</v>
      </c>
      <c r="G117" s="3">
        <v>3174</v>
      </c>
      <c r="H117" t="s">
        <v>12</v>
      </c>
      <c r="I117" t="s">
        <v>13</v>
      </c>
      <c r="J117" t="str">
        <f t="shared" si="6"/>
        <v>Ok</v>
      </c>
      <c r="K117" t="b">
        <f t="shared" si="7"/>
        <v>0</v>
      </c>
      <c r="L117" t="str">
        <f t="shared" si="8"/>
        <v>INDIA</v>
      </c>
      <c r="M117" t="str">
        <f t="shared" si="9"/>
        <v>Valid</v>
      </c>
      <c r="N117" t="str">
        <f>_xlfn.XLOOKUP(D117, Product_Master!A:A, Product_Master!A:A, "Invalid")</f>
        <v>P13</v>
      </c>
      <c r="O117" t="str">
        <f t="shared" si="10"/>
        <v>Clean</v>
      </c>
    </row>
    <row r="118" spans="1:15" x14ac:dyDescent="0.55000000000000004">
      <c r="A118">
        <v>1117</v>
      </c>
      <c r="B118" t="s">
        <v>207</v>
      </c>
      <c r="C118" s="5" t="s">
        <v>101</v>
      </c>
      <c r="D118" t="s">
        <v>11</v>
      </c>
      <c r="E118" s="4">
        <v>1</v>
      </c>
      <c r="F118" s="3">
        <v>2578</v>
      </c>
      <c r="G118" s="3">
        <v>2578</v>
      </c>
      <c r="H118" t="s">
        <v>26</v>
      </c>
      <c r="I118" t="s">
        <v>13</v>
      </c>
      <c r="J118" t="str">
        <f t="shared" si="6"/>
        <v>Ok</v>
      </c>
      <c r="K118" t="b">
        <f t="shared" si="7"/>
        <v>0</v>
      </c>
      <c r="L118" t="str">
        <f t="shared" si="8"/>
        <v>UK</v>
      </c>
      <c r="M118" t="str">
        <f t="shared" si="9"/>
        <v>Valid</v>
      </c>
      <c r="N118" t="str">
        <f>_xlfn.XLOOKUP(D118, Product_Master!A:A, Product_Master!A:A, "Invalid")</f>
        <v>P05</v>
      </c>
      <c r="O118" t="str">
        <f t="shared" si="10"/>
        <v>Clean</v>
      </c>
    </row>
    <row r="119" spans="1:15" x14ac:dyDescent="0.55000000000000004">
      <c r="A119">
        <v>1118</v>
      </c>
      <c r="B119" t="s">
        <v>208</v>
      </c>
      <c r="C119" s="5" t="s">
        <v>41</v>
      </c>
      <c r="D119" t="s">
        <v>16</v>
      </c>
      <c r="E119" s="4">
        <v>4</v>
      </c>
      <c r="F119" s="3">
        <v>9641</v>
      </c>
      <c r="G119" s="3">
        <v>38564</v>
      </c>
      <c r="H119" t="s">
        <v>22</v>
      </c>
      <c r="I119" t="s">
        <v>13</v>
      </c>
      <c r="J119" t="str">
        <f t="shared" si="6"/>
        <v>Ok</v>
      </c>
      <c r="K119" t="b">
        <f t="shared" si="7"/>
        <v>0</v>
      </c>
      <c r="L119" t="str">
        <f t="shared" si="8"/>
        <v>USA</v>
      </c>
      <c r="M119" t="str">
        <f t="shared" si="9"/>
        <v>Valid</v>
      </c>
      <c r="N119" t="str">
        <f>_xlfn.XLOOKUP(D119, Product_Master!A:A, Product_Master!A:A, "Invalid")</f>
        <v>P07</v>
      </c>
      <c r="O119" t="str">
        <f t="shared" si="10"/>
        <v>Clean</v>
      </c>
    </row>
    <row r="120" spans="1:15" x14ac:dyDescent="0.55000000000000004">
      <c r="A120">
        <v>1119</v>
      </c>
      <c r="B120" t="s">
        <v>209</v>
      </c>
      <c r="C120" s="5" t="s">
        <v>77</v>
      </c>
      <c r="D120" t="s">
        <v>109</v>
      </c>
      <c r="E120" s="4">
        <v>3</v>
      </c>
      <c r="F120" s="3">
        <v>768</v>
      </c>
      <c r="G120" s="3">
        <v>2304</v>
      </c>
      <c r="H120" t="s">
        <v>12</v>
      </c>
      <c r="I120" t="s">
        <v>18</v>
      </c>
      <c r="J120" t="str">
        <f t="shared" si="6"/>
        <v>Ok</v>
      </c>
      <c r="K120" t="b">
        <f t="shared" si="7"/>
        <v>0</v>
      </c>
      <c r="L120" t="str">
        <f t="shared" si="8"/>
        <v>INDIA</v>
      </c>
      <c r="M120" t="str">
        <f t="shared" si="9"/>
        <v>Valid</v>
      </c>
      <c r="N120" t="str">
        <f>_xlfn.XLOOKUP(D120, Product_Master!A:A, Product_Master!A:A, "Invalid")</f>
        <v>P08</v>
      </c>
      <c r="O120" t="str">
        <f t="shared" si="10"/>
        <v>Clean</v>
      </c>
    </row>
    <row r="121" spans="1:15" x14ac:dyDescent="0.55000000000000004">
      <c r="A121">
        <v>1120</v>
      </c>
      <c r="B121" t="s">
        <v>210</v>
      </c>
      <c r="C121" s="5" t="s">
        <v>20</v>
      </c>
      <c r="D121" t="s">
        <v>145</v>
      </c>
      <c r="E121" s="4">
        <v>5</v>
      </c>
      <c r="F121" s="3">
        <v>6867</v>
      </c>
      <c r="G121" s="3">
        <v>34335</v>
      </c>
      <c r="H121" t="s">
        <v>22</v>
      </c>
      <c r="I121" t="s">
        <v>18</v>
      </c>
      <c r="J121" t="str">
        <f t="shared" si="6"/>
        <v>Ok</v>
      </c>
      <c r="K121" t="b">
        <f t="shared" si="7"/>
        <v>0</v>
      </c>
      <c r="L121" t="str">
        <f t="shared" si="8"/>
        <v>USA</v>
      </c>
      <c r="M121" t="str">
        <f t="shared" si="9"/>
        <v>Valid</v>
      </c>
      <c r="N121" t="str">
        <f>_xlfn.XLOOKUP(D121, Product_Master!A:A, Product_Master!A:A, "Invalid")</f>
        <v>P02</v>
      </c>
      <c r="O121" t="str">
        <f t="shared" si="10"/>
        <v>Clean</v>
      </c>
    </row>
    <row r="122" spans="1:15" x14ac:dyDescent="0.55000000000000004">
      <c r="A122">
        <v>1121</v>
      </c>
      <c r="B122" t="s">
        <v>211</v>
      </c>
      <c r="D122" t="s">
        <v>32</v>
      </c>
      <c r="E122" s="4">
        <v>5</v>
      </c>
      <c r="F122" s="3">
        <v>8891</v>
      </c>
      <c r="G122" s="3">
        <v>44455</v>
      </c>
      <c r="H122" t="s">
        <v>17</v>
      </c>
      <c r="I122" t="s">
        <v>18</v>
      </c>
      <c r="J122" t="str">
        <f t="shared" si="6"/>
        <v>Ok</v>
      </c>
      <c r="K122" t="b">
        <f t="shared" si="7"/>
        <v>0</v>
      </c>
      <c r="L122" t="str">
        <f t="shared" si="8"/>
        <v>CANADA</v>
      </c>
      <c r="M122" t="str">
        <f t="shared" si="9"/>
        <v>Valid</v>
      </c>
      <c r="N122" t="str">
        <f>_xlfn.XLOOKUP(D122, Product_Master!A:A, Product_Master!A:A, "Invalid")</f>
        <v>P04</v>
      </c>
      <c r="O122" t="str">
        <f t="shared" si="10"/>
        <v>Clean</v>
      </c>
    </row>
    <row r="123" spans="1:15" x14ac:dyDescent="0.55000000000000004">
      <c r="A123">
        <v>1122</v>
      </c>
      <c r="B123" t="s">
        <v>212</v>
      </c>
      <c r="C123" s="5" t="s">
        <v>34</v>
      </c>
      <c r="D123" t="s">
        <v>16</v>
      </c>
      <c r="E123" s="4">
        <v>4</v>
      </c>
      <c r="F123" s="3">
        <v>7463</v>
      </c>
      <c r="G123" s="3">
        <v>29852</v>
      </c>
      <c r="H123" t="s">
        <v>22</v>
      </c>
      <c r="I123" t="s">
        <v>18</v>
      </c>
      <c r="J123" t="str">
        <f t="shared" si="6"/>
        <v>Ok</v>
      </c>
      <c r="K123" t="b">
        <f t="shared" si="7"/>
        <v>0</v>
      </c>
      <c r="L123" t="str">
        <f t="shared" si="8"/>
        <v>USA</v>
      </c>
      <c r="M123" t="str">
        <f t="shared" si="9"/>
        <v>Valid</v>
      </c>
      <c r="N123" t="str">
        <f>_xlfn.XLOOKUP(D123, Product_Master!A:A, Product_Master!A:A, "Invalid")</f>
        <v>P07</v>
      </c>
      <c r="O123" t="str">
        <f t="shared" si="10"/>
        <v>Clean</v>
      </c>
    </row>
    <row r="124" spans="1:15" x14ac:dyDescent="0.55000000000000004">
      <c r="A124">
        <v>1123</v>
      </c>
      <c r="B124" t="s">
        <v>213</v>
      </c>
      <c r="C124" s="5" t="s">
        <v>97</v>
      </c>
      <c r="D124" t="s">
        <v>44</v>
      </c>
      <c r="E124" s="4">
        <v>1</v>
      </c>
      <c r="F124" s="3">
        <v>1243</v>
      </c>
      <c r="G124" s="3">
        <v>1243</v>
      </c>
      <c r="H124" t="s">
        <v>17</v>
      </c>
      <c r="I124" t="s">
        <v>18</v>
      </c>
      <c r="J124" t="str">
        <f t="shared" si="6"/>
        <v>Ok</v>
      </c>
      <c r="K124" t="b">
        <f t="shared" si="7"/>
        <v>0</v>
      </c>
      <c r="L124" t="str">
        <f t="shared" si="8"/>
        <v>CANADA</v>
      </c>
      <c r="M124" t="str">
        <f t="shared" si="9"/>
        <v>Valid</v>
      </c>
      <c r="N124" t="str">
        <f>_xlfn.XLOOKUP(D124, Product_Master!A:A, Product_Master!A:A, "Invalid")</f>
        <v>P11</v>
      </c>
      <c r="O124" t="str">
        <f t="shared" si="10"/>
        <v>Clean</v>
      </c>
    </row>
    <row r="125" spans="1:15" x14ac:dyDescent="0.55000000000000004">
      <c r="A125">
        <v>1124</v>
      </c>
      <c r="B125" t="s">
        <v>214</v>
      </c>
      <c r="C125" s="5" t="s">
        <v>143</v>
      </c>
      <c r="D125" t="s">
        <v>145</v>
      </c>
      <c r="E125" s="4">
        <v>4</v>
      </c>
      <c r="F125" s="3">
        <v>3680</v>
      </c>
      <c r="G125" s="3">
        <v>14720</v>
      </c>
      <c r="H125" t="s">
        <v>12</v>
      </c>
      <c r="I125" t="s">
        <v>55</v>
      </c>
      <c r="J125" t="str">
        <f t="shared" si="6"/>
        <v>Ok</v>
      </c>
      <c r="K125" t="b">
        <f t="shared" si="7"/>
        <v>0</v>
      </c>
      <c r="L125" t="str">
        <f t="shared" si="8"/>
        <v>INDIA</v>
      </c>
      <c r="M125" t="str">
        <f t="shared" si="9"/>
        <v>Valid</v>
      </c>
      <c r="N125" t="str">
        <f>_xlfn.XLOOKUP(D125, Product_Master!A:A, Product_Master!A:A, "Invalid")</f>
        <v>P02</v>
      </c>
      <c r="O125" t="str">
        <f t="shared" si="10"/>
        <v>Clean</v>
      </c>
    </row>
    <row r="126" spans="1:15" x14ac:dyDescent="0.55000000000000004">
      <c r="A126">
        <v>1125</v>
      </c>
      <c r="B126" t="s">
        <v>215</v>
      </c>
      <c r="C126" s="5" t="s">
        <v>133</v>
      </c>
      <c r="D126" t="s">
        <v>59</v>
      </c>
      <c r="E126" s="4">
        <v>3</v>
      </c>
      <c r="F126" s="3">
        <v>3270</v>
      </c>
      <c r="G126" s="3">
        <v>9810</v>
      </c>
      <c r="H126" t="s">
        <v>12</v>
      </c>
      <c r="I126" t="s">
        <v>18</v>
      </c>
      <c r="J126" t="str">
        <f t="shared" si="6"/>
        <v>Ok</v>
      </c>
      <c r="K126" t="b">
        <f t="shared" si="7"/>
        <v>0</v>
      </c>
      <c r="L126" t="str">
        <f t="shared" si="8"/>
        <v>INDIA</v>
      </c>
      <c r="M126" t="str">
        <f t="shared" si="9"/>
        <v>Valid</v>
      </c>
      <c r="N126" t="str">
        <f>_xlfn.XLOOKUP(D126, Product_Master!A:A, Product_Master!A:A, "Invalid")</f>
        <v>P03</v>
      </c>
      <c r="O126" t="str">
        <f t="shared" si="10"/>
        <v>Clean</v>
      </c>
    </row>
    <row r="127" spans="1:15" x14ac:dyDescent="0.55000000000000004">
      <c r="A127">
        <v>1126</v>
      </c>
      <c r="B127" t="s">
        <v>216</v>
      </c>
      <c r="C127" s="5" t="s">
        <v>66</v>
      </c>
      <c r="D127" t="s">
        <v>11</v>
      </c>
      <c r="E127" s="4">
        <v>2</v>
      </c>
      <c r="F127" s="3">
        <v>8303</v>
      </c>
      <c r="G127" s="3">
        <v>16606</v>
      </c>
      <c r="H127" t="s">
        <v>17</v>
      </c>
      <c r="I127" t="s">
        <v>13</v>
      </c>
      <c r="J127" t="str">
        <f t="shared" si="6"/>
        <v>Ok</v>
      </c>
      <c r="K127" t="b">
        <f t="shared" si="7"/>
        <v>0</v>
      </c>
      <c r="L127" t="str">
        <f t="shared" si="8"/>
        <v>CANADA</v>
      </c>
      <c r="M127" t="str">
        <f t="shared" si="9"/>
        <v>Valid</v>
      </c>
      <c r="N127" t="str">
        <f>_xlfn.XLOOKUP(D127, Product_Master!A:A, Product_Master!A:A, "Invalid")</f>
        <v>P05</v>
      </c>
      <c r="O127" t="str">
        <f t="shared" si="10"/>
        <v>Clean</v>
      </c>
    </row>
    <row r="128" spans="1:15" x14ac:dyDescent="0.55000000000000004">
      <c r="A128">
        <v>1127</v>
      </c>
      <c r="B128" t="s">
        <v>217</v>
      </c>
      <c r="C128" s="5" t="s">
        <v>71</v>
      </c>
      <c r="D128" t="s">
        <v>145</v>
      </c>
      <c r="E128" s="4">
        <v>3</v>
      </c>
      <c r="F128" s="3">
        <v>2858</v>
      </c>
      <c r="G128" s="3">
        <v>8574</v>
      </c>
      <c r="H128" t="s">
        <v>26</v>
      </c>
      <c r="I128" t="s">
        <v>13</v>
      </c>
      <c r="J128" t="str">
        <f t="shared" si="6"/>
        <v>Ok</v>
      </c>
      <c r="K128" t="b">
        <f t="shared" si="7"/>
        <v>0</v>
      </c>
      <c r="L128" t="str">
        <f t="shared" si="8"/>
        <v>UK</v>
      </c>
      <c r="M128" t="str">
        <f t="shared" si="9"/>
        <v>Valid</v>
      </c>
      <c r="N128" t="str">
        <f>_xlfn.XLOOKUP(D128, Product_Master!A:A, Product_Master!A:A, "Invalid")</f>
        <v>P02</v>
      </c>
      <c r="O128" t="str">
        <f t="shared" si="10"/>
        <v>Clean</v>
      </c>
    </row>
    <row r="129" spans="1:15" x14ac:dyDescent="0.55000000000000004">
      <c r="A129">
        <v>1128</v>
      </c>
      <c r="B129" t="s">
        <v>218</v>
      </c>
      <c r="C129" s="5" t="s">
        <v>24</v>
      </c>
      <c r="D129" t="s">
        <v>145</v>
      </c>
      <c r="E129" s="4">
        <v>3</v>
      </c>
      <c r="F129" s="3">
        <v>3620</v>
      </c>
      <c r="G129" s="3">
        <v>10860</v>
      </c>
      <c r="H129" t="s">
        <v>26</v>
      </c>
      <c r="I129" t="s">
        <v>18</v>
      </c>
      <c r="J129" t="str">
        <f t="shared" si="6"/>
        <v>Ok</v>
      </c>
      <c r="K129" t="b">
        <f t="shared" si="7"/>
        <v>0</v>
      </c>
      <c r="L129" t="str">
        <f t="shared" si="8"/>
        <v>UK</v>
      </c>
      <c r="M129" t="str">
        <f t="shared" si="9"/>
        <v>Valid</v>
      </c>
      <c r="N129" t="str">
        <f>_xlfn.XLOOKUP(D129, Product_Master!A:A, Product_Master!A:A, "Invalid")</f>
        <v>P02</v>
      </c>
      <c r="O129" t="str">
        <f t="shared" si="10"/>
        <v>Clean</v>
      </c>
    </row>
    <row r="130" spans="1:15" x14ac:dyDescent="0.55000000000000004">
      <c r="A130">
        <v>1129</v>
      </c>
      <c r="B130" t="s">
        <v>219</v>
      </c>
      <c r="C130" s="5" t="s">
        <v>54</v>
      </c>
      <c r="D130" t="s">
        <v>44</v>
      </c>
      <c r="E130" s="4">
        <v>3</v>
      </c>
      <c r="F130" s="3">
        <v>922</v>
      </c>
      <c r="G130" s="3">
        <v>2766</v>
      </c>
      <c r="H130" t="s">
        <v>26</v>
      </c>
      <c r="I130" t="s">
        <v>55</v>
      </c>
      <c r="J130" t="str">
        <f t="shared" ref="J130:J193" si="11">IF(G130&lt;&gt;(E130*F130), "Mismatch", "Ok")</f>
        <v>Ok</v>
      </c>
      <c r="K130" t="b">
        <f t="shared" ref="K130:K193" si="12">ISNUMBER(C130)</f>
        <v>0</v>
      </c>
      <c r="L130" t="str">
        <f t="shared" ref="L130:L193" si="13">_xlfn.XLOOKUP(
    UPPER(SUBSTITUTE(TRIM(H130),".","")),
    A:A,
    B:B,
    UPPER(SUBSTITUTE(TRIM(H130),".",""))
)</f>
        <v>UK</v>
      </c>
      <c r="M130" t="str">
        <f t="shared" ref="M130:M193" si="14">IF(OR(I130="Completed", I130="Pending", I130="Cancelled"), "Valid", "Invalid")</f>
        <v>Valid</v>
      </c>
      <c r="N130" t="str">
        <f>_xlfn.XLOOKUP(D130, Product_Master!A:A, Product_Master!A:A, "Invalid")</f>
        <v>P11</v>
      </c>
      <c r="O130" t="str">
        <f t="shared" si="10"/>
        <v>Clean</v>
      </c>
    </row>
    <row r="131" spans="1:15" x14ac:dyDescent="0.55000000000000004">
      <c r="A131">
        <v>1130</v>
      </c>
      <c r="B131" t="s">
        <v>220</v>
      </c>
      <c r="C131" s="5" t="s">
        <v>193</v>
      </c>
      <c r="D131" t="s">
        <v>21</v>
      </c>
      <c r="E131" s="4">
        <v>3</v>
      </c>
      <c r="F131" s="3">
        <v>6586</v>
      </c>
      <c r="G131" s="3">
        <v>19758</v>
      </c>
      <c r="H131" t="s">
        <v>12</v>
      </c>
      <c r="I131" t="s">
        <v>18</v>
      </c>
      <c r="J131" t="str">
        <f t="shared" si="11"/>
        <v>Ok</v>
      </c>
      <c r="K131" t="b">
        <f t="shared" si="12"/>
        <v>0</v>
      </c>
      <c r="L131" t="str">
        <f t="shared" si="13"/>
        <v>INDIA</v>
      </c>
      <c r="M131" t="str">
        <f t="shared" si="14"/>
        <v>Valid</v>
      </c>
      <c r="N131" t="str">
        <f>_xlfn.XLOOKUP(D131, Product_Master!A:A, Product_Master!A:A, "Invalid")</f>
        <v>P15</v>
      </c>
      <c r="O131" t="str">
        <f t="shared" si="10"/>
        <v>Clean</v>
      </c>
    </row>
    <row r="132" spans="1:15" x14ac:dyDescent="0.55000000000000004">
      <c r="A132">
        <v>1131</v>
      </c>
      <c r="B132" t="s">
        <v>221</v>
      </c>
      <c r="C132" s="5" t="s">
        <v>54</v>
      </c>
      <c r="D132" t="s">
        <v>25</v>
      </c>
      <c r="E132" s="4">
        <v>5</v>
      </c>
      <c r="F132" s="3">
        <v>7281</v>
      </c>
      <c r="G132" s="3">
        <v>36405</v>
      </c>
      <c r="H132" t="s">
        <v>222</v>
      </c>
      <c r="I132" t="s">
        <v>18</v>
      </c>
      <c r="J132" t="str">
        <f t="shared" si="11"/>
        <v>Ok</v>
      </c>
      <c r="K132" t="b">
        <f t="shared" si="12"/>
        <v>0</v>
      </c>
      <c r="L132" t="str">
        <f t="shared" si="13"/>
        <v>INDIA</v>
      </c>
      <c r="M132" t="str">
        <f t="shared" si="14"/>
        <v>Valid</v>
      </c>
      <c r="N132" t="str">
        <f>_xlfn.XLOOKUP(D132, Product_Master!A:A, Product_Master!A:A, "Invalid")</f>
        <v>P09</v>
      </c>
      <c r="O132" t="str">
        <f t="shared" si="10"/>
        <v>Clean</v>
      </c>
    </row>
    <row r="133" spans="1:15" x14ac:dyDescent="0.55000000000000004">
      <c r="A133">
        <v>1132</v>
      </c>
      <c r="B133" t="s">
        <v>223</v>
      </c>
      <c r="C133" s="5" t="s">
        <v>91</v>
      </c>
      <c r="D133" t="s">
        <v>44</v>
      </c>
      <c r="E133" s="4">
        <v>5</v>
      </c>
      <c r="F133" s="3">
        <v>9219</v>
      </c>
      <c r="G133" s="3">
        <v>46095</v>
      </c>
      <c r="H133" t="s">
        <v>22</v>
      </c>
      <c r="I133" t="s">
        <v>13</v>
      </c>
      <c r="J133" t="str">
        <f t="shared" si="11"/>
        <v>Ok</v>
      </c>
      <c r="K133" t="b">
        <f t="shared" si="12"/>
        <v>0</v>
      </c>
      <c r="L133" t="str">
        <f t="shared" si="13"/>
        <v>USA</v>
      </c>
      <c r="M133" t="str">
        <f t="shared" si="14"/>
        <v>Valid</v>
      </c>
      <c r="N133" t="str">
        <f>_xlfn.XLOOKUP(D133, Product_Master!A:A, Product_Master!A:A, "Invalid")</f>
        <v>P11</v>
      </c>
      <c r="O133" t="str">
        <f t="shared" si="10"/>
        <v>Clean</v>
      </c>
    </row>
    <row r="134" spans="1:15" x14ac:dyDescent="0.55000000000000004">
      <c r="A134">
        <v>1133</v>
      </c>
      <c r="B134" t="s">
        <v>224</v>
      </c>
      <c r="C134" s="5" t="s">
        <v>68</v>
      </c>
      <c r="D134" t="s">
        <v>145</v>
      </c>
      <c r="E134" s="4">
        <v>3</v>
      </c>
      <c r="F134" s="3">
        <v>5114</v>
      </c>
      <c r="G134" s="3">
        <v>15342</v>
      </c>
      <c r="H134" t="s">
        <v>17</v>
      </c>
      <c r="I134" t="s">
        <v>18</v>
      </c>
      <c r="J134" t="str">
        <f t="shared" si="11"/>
        <v>Ok</v>
      </c>
      <c r="K134" t="b">
        <f t="shared" si="12"/>
        <v>0</v>
      </c>
      <c r="L134" t="str">
        <f t="shared" si="13"/>
        <v>CANADA</v>
      </c>
      <c r="M134" t="str">
        <f t="shared" si="14"/>
        <v>Valid</v>
      </c>
      <c r="N134" t="str">
        <f>_xlfn.XLOOKUP(D134, Product_Master!A:A, Product_Master!A:A, "Invalid")</f>
        <v>P02</v>
      </c>
      <c r="O134" t="str">
        <f t="shared" si="10"/>
        <v>Clean</v>
      </c>
    </row>
    <row r="135" spans="1:15" x14ac:dyDescent="0.55000000000000004">
      <c r="A135">
        <v>1134</v>
      </c>
      <c r="B135" t="s">
        <v>225</v>
      </c>
      <c r="C135" s="5" t="s">
        <v>87</v>
      </c>
      <c r="D135" t="s">
        <v>29</v>
      </c>
      <c r="E135" s="4">
        <v>5</v>
      </c>
      <c r="F135" s="3">
        <v>6726</v>
      </c>
      <c r="G135" s="3">
        <v>33630</v>
      </c>
      <c r="H135" t="s">
        <v>17</v>
      </c>
      <c r="I135" t="s">
        <v>13</v>
      </c>
      <c r="J135" t="str">
        <f t="shared" si="11"/>
        <v>Ok</v>
      </c>
      <c r="K135" t="b">
        <f t="shared" si="12"/>
        <v>0</v>
      </c>
      <c r="L135" t="str">
        <f t="shared" si="13"/>
        <v>CANADA</v>
      </c>
      <c r="M135" t="str">
        <f t="shared" si="14"/>
        <v>Valid</v>
      </c>
      <c r="N135" t="str">
        <f>_xlfn.XLOOKUP(D135, Product_Master!A:A, Product_Master!A:A, "Invalid")</f>
        <v>P13</v>
      </c>
      <c r="O135" t="str">
        <f t="shared" ref="O135:O198" si="15">IF(OR(J135="Mismatch", K135="False", M135="Invalid", N135="Invalid"), "Problem", "Clean")</f>
        <v>Clean</v>
      </c>
    </row>
    <row r="136" spans="1:15" x14ac:dyDescent="0.55000000000000004">
      <c r="A136">
        <v>1135</v>
      </c>
      <c r="B136" t="s">
        <v>226</v>
      </c>
      <c r="C136" s="5" t="s">
        <v>87</v>
      </c>
      <c r="D136" t="s">
        <v>21</v>
      </c>
      <c r="E136" s="4">
        <v>1</v>
      </c>
      <c r="F136" s="3">
        <v>2496</v>
      </c>
      <c r="G136" s="3">
        <v>2496</v>
      </c>
      <c r="H136" t="s">
        <v>12</v>
      </c>
      <c r="I136" t="s">
        <v>55</v>
      </c>
      <c r="J136" t="str">
        <f t="shared" si="11"/>
        <v>Ok</v>
      </c>
      <c r="K136" t="b">
        <f t="shared" si="12"/>
        <v>0</v>
      </c>
      <c r="L136" t="str">
        <f t="shared" si="13"/>
        <v>INDIA</v>
      </c>
      <c r="M136" t="str">
        <f t="shared" si="14"/>
        <v>Valid</v>
      </c>
      <c r="N136" t="str">
        <f>_xlfn.XLOOKUP(D136, Product_Master!A:A, Product_Master!A:A, "Invalid")</f>
        <v>P15</v>
      </c>
      <c r="O136" t="str">
        <f t="shared" si="15"/>
        <v>Clean</v>
      </c>
    </row>
    <row r="137" spans="1:15" x14ac:dyDescent="0.55000000000000004">
      <c r="A137">
        <v>1136</v>
      </c>
      <c r="B137" t="s">
        <v>227</v>
      </c>
      <c r="C137" s="5" t="s">
        <v>46</v>
      </c>
      <c r="D137" t="s">
        <v>109</v>
      </c>
      <c r="E137" s="4">
        <v>2</v>
      </c>
      <c r="F137" s="3">
        <v>4163</v>
      </c>
      <c r="G137" s="3">
        <v>8326</v>
      </c>
      <c r="H137" t="s">
        <v>26</v>
      </c>
      <c r="I137" t="s">
        <v>18</v>
      </c>
      <c r="J137" t="str">
        <f t="shared" si="11"/>
        <v>Ok</v>
      </c>
      <c r="K137" t="b">
        <f t="shared" si="12"/>
        <v>0</v>
      </c>
      <c r="L137" t="str">
        <f t="shared" si="13"/>
        <v>UK</v>
      </c>
      <c r="M137" t="str">
        <f t="shared" si="14"/>
        <v>Valid</v>
      </c>
      <c r="N137" t="str">
        <f>_xlfn.XLOOKUP(D137, Product_Master!A:A, Product_Master!A:A, "Invalid")</f>
        <v>P08</v>
      </c>
      <c r="O137" t="str">
        <f t="shared" si="15"/>
        <v>Clean</v>
      </c>
    </row>
    <row r="138" spans="1:15" x14ac:dyDescent="0.55000000000000004">
      <c r="A138">
        <v>1137</v>
      </c>
      <c r="B138" t="s">
        <v>228</v>
      </c>
      <c r="C138" s="5" t="s">
        <v>118</v>
      </c>
      <c r="D138" t="s">
        <v>16</v>
      </c>
      <c r="E138" s="4">
        <v>1</v>
      </c>
      <c r="F138" s="3">
        <v>2719</v>
      </c>
      <c r="G138" s="3">
        <v>2719</v>
      </c>
      <c r="H138" t="s">
        <v>17</v>
      </c>
      <c r="I138" t="s">
        <v>13</v>
      </c>
      <c r="J138" t="str">
        <f t="shared" si="11"/>
        <v>Ok</v>
      </c>
      <c r="K138" t="b">
        <f t="shared" si="12"/>
        <v>0</v>
      </c>
      <c r="L138" t="str">
        <f t="shared" si="13"/>
        <v>CANADA</v>
      </c>
      <c r="M138" t="str">
        <f t="shared" si="14"/>
        <v>Valid</v>
      </c>
      <c r="N138" t="str">
        <f>_xlfn.XLOOKUP(D138, Product_Master!A:A, Product_Master!A:A, "Invalid")</f>
        <v>P07</v>
      </c>
      <c r="O138" t="str">
        <f t="shared" si="15"/>
        <v>Clean</v>
      </c>
    </row>
    <row r="139" spans="1:15" x14ac:dyDescent="0.55000000000000004">
      <c r="A139">
        <v>1138</v>
      </c>
      <c r="B139" t="s">
        <v>229</v>
      </c>
      <c r="C139" s="5" t="s">
        <v>58</v>
      </c>
      <c r="D139" t="s">
        <v>59</v>
      </c>
      <c r="E139" s="4">
        <v>1</v>
      </c>
      <c r="F139" s="3">
        <v>8162</v>
      </c>
      <c r="G139" s="3">
        <v>8162</v>
      </c>
      <c r="H139" t="s">
        <v>22</v>
      </c>
      <c r="I139" t="s">
        <v>55</v>
      </c>
      <c r="J139" t="str">
        <f t="shared" si="11"/>
        <v>Ok</v>
      </c>
      <c r="K139" t="b">
        <f t="shared" si="12"/>
        <v>0</v>
      </c>
      <c r="L139" t="str">
        <f t="shared" si="13"/>
        <v>USA</v>
      </c>
      <c r="M139" t="str">
        <f t="shared" si="14"/>
        <v>Valid</v>
      </c>
      <c r="N139" t="str">
        <f>_xlfn.XLOOKUP(D139, Product_Master!A:A, Product_Master!A:A, "Invalid")</f>
        <v>P03</v>
      </c>
      <c r="O139" t="str">
        <f t="shared" si="15"/>
        <v>Clean</v>
      </c>
    </row>
    <row r="140" spans="1:15" x14ac:dyDescent="0.55000000000000004">
      <c r="A140">
        <v>1139</v>
      </c>
      <c r="B140" t="s">
        <v>230</v>
      </c>
      <c r="C140" s="5" t="s">
        <v>89</v>
      </c>
      <c r="D140" t="s">
        <v>16</v>
      </c>
      <c r="E140" s="4">
        <v>2</v>
      </c>
      <c r="F140" s="3">
        <v>9049</v>
      </c>
      <c r="G140" s="3">
        <v>18098</v>
      </c>
      <c r="H140" t="s">
        <v>12</v>
      </c>
      <c r="I140" t="s">
        <v>13</v>
      </c>
      <c r="J140" t="str">
        <f t="shared" si="11"/>
        <v>Ok</v>
      </c>
      <c r="K140" t="b">
        <f t="shared" si="12"/>
        <v>0</v>
      </c>
      <c r="L140" t="str">
        <f t="shared" si="13"/>
        <v>INDIA</v>
      </c>
      <c r="M140" t="str">
        <f t="shared" si="14"/>
        <v>Valid</v>
      </c>
      <c r="N140" t="str">
        <f>_xlfn.XLOOKUP(D140, Product_Master!A:A, Product_Master!A:A, "Invalid")</f>
        <v>P07</v>
      </c>
      <c r="O140" t="str">
        <f t="shared" si="15"/>
        <v>Clean</v>
      </c>
    </row>
    <row r="141" spans="1:15" x14ac:dyDescent="0.55000000000000004">
      <c r="A141">
        <v>1140</v>
      </c>
      <c r="B141" t="s">
        <v>231</v>
      </c>
      <c r="C141" s="5" t="s">
        <v>48</v>
      </c>
      <c r="D141" t="s">
        <v>81</v>
      </c>
      <c r="E141" s="4">
        <v>2</v>
      </c>
      <c r="F141" s="3">
        <v>1863</v>
      </c>
      <c r="G141" s="3">
        <v>3726</v>
      </c>
      <c r="H141" t="s">
        <v>17</v>
      </c>
      <c r="I141" t="s">
        <v>18</v>
      </c>
      <c r="J141" t="str">
        <f t="shared" si="11"/>
        <v>Ok</v>
      </c>
      <c r="K141" t="b">
        <f t="shared" si="12"/>
        <v>0</v>
      </c>
      <c r="L141" t="str">
        <f t="shared" si="13"/>
        <v>CANADA</v>
      </c>
      <c r="M141" t="str">
        <f t="shared" si="14"/>
        <v>Valid</v>
      </c>
      <c r="N141" t="str">
        <f>_xlfn.XLOOKUP(D141, Product_Master!A:A, Product_Master!A:A, "Invalid")</f>
        <v>P06</v>
      </c>
      <c r="O141" t="str">
        <f t="shared" si="15"/>
        <v>Clean</v>
      </c>
    </row>
    <row r="142" spans="1:15" x14ac:dyDescent="0.55000000000000004">
      <c r="A142">
        <v>1141</v>
      </c>
      <c r="B142" t="s">
        <v>232</v>
      </c>
      <c r="C142" s="5" t="s">
        <v>63</v>
      </c>
      <c r="D142" t="s">
        <v>145</v>
      </c>
      <c r="E142" s="4">
        <v>2</v>
      </c>
      <c r="F142" s="3">
        <v>6709</v>
      </c>
      <c r="G142" s="3">
        <v>13418</v>
      </c>
      <c r="H142" t="s">
        <v>233</v>
      </c>
      <c r="I142" t="s">
        <v>18</v>
      </c>
      <c r="J142" t="str">
        <f t="shared" si="11"/>
        <v>Ok</v>
      </c>
      <c r="K142" t="b">
        <f t="shared" si="12"/>
        <v>0</v>
      </c>
      <c r="L142" t="str">
        <f t="shared" si="13"/>
        <v>USA</v>
      </c>
      <c r="M142" t="str">
        <f t="shared" si="14"/>
        <v>Valid</v>
      </c>
      <c r="N142" t="str">
        <f>_xlfn.XLOOKUP(D142, Product_Master!A:A, Product_Master!A:A, "Invalid")</f>
        <v>P02</v>
      </c>
      <c r="O142" t="str">
        <f t="shared" si="15"/>
        <v>Clean</v>
      </c>
    </row>
    <row r="143" spans="1:15" x14ac:dyDescent="0.55000000000000004">
      <c r="A143">
        <v>1142</v>
      </c>
      <c r="B143" t="s">
        <v>234</v>
      </c>
      <c r="C143" s="5" t="s">
        <v>31</v>
      </c>
      <c r="D143" t="s">
        <v>35</v>
      </c>
      <c r="E143" s="4">
        <v>3</v>
      </c>
      <c r="F143" s="3">
        <v>6195</v>
      </c>
      <c r="G143" s="3">
        <v>18585</v>
      </c>
      <c r="H143" t="s">
        <v>26</v>
      </c>
      <c r="I143" t="s">
        <v>18</v>
      </c>
      <c r="J143" t="str">
        <f t="shared" si="11"/>
        <v>Ok</v>
      </c>
      <c r="K143" t="b">
        <f t="shared" si="12"/>
        <v>0</v>
      </c>
      <c r="L143" t="str">
        <f t="shared" si="13"/>
        <v>UK</v>
      </c>
      <c r="M143" t="str">
        <f t="shared" si="14"/>
        <v>Valid</v>
      </c>
      <c r="N143" t="str">
        <f>_xlfn.XLOOKUP(D143, Product_Master!A:A, Product_Master!A:A, "Invalid")</f>
        <v>P10</v>
      </c>
      <c r="O143" t="str">
        <f t="shared" si="15"/>
        <v>Clean</v>
      </c>
    </row>
    <row r="144" spans="1:15" x14ac:dyDescent="0.55000000000000004">
      <c r="A144">
        <v>1143</v>
      </c>
      <c r="B144" t="s">
        <v>235</v>
      </c>
      <c r="C144" s="5" t="s">
        <v>85</v>
      </c>
      <c r="D144" t="s">
        <v>25</v>
      </c>
      <c r="E144" s="4">
        <v>2</v>
      </c>
      <c r="F144" s="3">
        <v>3251</v>
      </c>
      <c r="G144" s="3">
        <v>6502</v>
      </c>
      <c r="H144" t="s">
        <v>26</v>
      </c>
      <c r="I144" t="s">
        <v>55</v>
      </c>
      <c r="J144" t="str">
        <f t="shared" si="11"/>
        <v>Ok</v>
      </c>
      <c r="K144" t="b">
        <f t="shared" si="12"/>
        <v>0</v>
      </c>
      <c r="L144" t="str">
        <f t="shared" si="13"/>
        <v>UK</v>
      </c>
      <c r="M144" t="str">
        <f t="shared" si="14"/>
        <v>Valid</v>
      </c>
      <c r="N144" t="str">
        <f>_xlfn.XLOOKUP(D144, Product_Master!A:A, Product_Master!A:A, "Invalid")</f>
        <v>P09</v>
      </c>
      <c r="O144" t="str">
        <f t="shared" si="15"/>
        <v>Clean</v>
      </c>
    </row>
    <row r="145" spans="1:15" x14ac:dyDescent="0.55000000000000004">
      <c r="A145">
        <v>1144</v>
      </c>
      <c r="B145" t="s">
        <v>236</v>
      </c>
      <c r="C145" s="5" t="s">
        <v>61</v>
      </c>
      <c r="D145" t="s">
        <v>25</v>
      </c>
      <c r="E145" s="4">
        <v>4</v>
      </c>
      <c r="F145" s="3">
        <v>4693</v>
      </c>
      <c r="G145" s="3">
        <v>18772</v>
      </c>
      <c r="H145" t="s">
        <v>26</v>
      </c>
      <c r="I145" t="s">
        <v>18</v>
      </c>
      <c r="J145" t="str">
        <f t="shared" si="11"/>
        <v>Ok</v>
      </c>
      <c r="K145" t="b">
        <f t="shared" si="12"/>
        <v>0</v>
      </c>
      <c r="L145" t="str">
        <f t="shared" si="13"/>
        <v>UK</v>
      </c>
      <c r="M145" t="str">
        <f t="shared" si="14"/>
        <v>Valid</v>
      </c>
      <c r="N145" t="str">
        <f>_xlfn.XLOOKUP(D145, Product_Master!A:A, Product_Master!A:A, "Invalid")</f>
        <v>P09</v>
      </c>
      <c r="O145" t="str">
        <f t="shared" si="15"/>
        <v>Clean</v>
      </c>
    </row>
    <row r="146" spans="1:15" x14ac:dyDescent="0.55000000000000004">
      <c r="A146">
        <v>1145</v>
      </c>
      <c r="B146" t="s">
        <v>237</v>
      </c>
      <c r="C146" s="5" t="s">
        <v>79</v>
      </c>
      <c r="D146" t="s">
        <v>35</v>
      </c>
      <c r="E146" s="4">
        <v>4</v>
      </c>
      <c r="F146" s="3">
        <v>7958</v>
      </c>
      <c r="G146" s="3">
        <v>31832</v>
      </c>
      <c r="H146" t="s">
        <v>26</v>
      </c>
      <c r="I146" t="s">
        <v>13</v>
      </c>
      <c r="J146" t="str">
        <f t="shared" si="11"/>
        <v>Ok</v>
      </c>
      <c r="K146" t="b">
        <f t="shared" si="12"/>
        <v>0</v>
      </c>
      <c r="L146" t="str">
        <f t="shared" si="13"/>
        <v>UK</v>
      </c>
      <c r="M146" t="str">
        <f t="shared" si="14"/>
        <v>Valid</v>
      </c>
      <c r="N146" t="str">
        <f>_xlfn.XLOOKUP(D146, Product_Master!A:A, Product_Master!A:A, "Invalid")</f>
        <v>P10</v>
      </c>
      <c r="O146" t="str">
        <f t="shared" si="15"/>
        <v>Clean</v>
      </c>
    </row>
    <row r="147" spans="1:15" x14ac:dyDescent="0.55000000000000004">
      <c r="A147">
        <v>1146</v>
      </c>
      <c r="B147" t="s">
        <v>238</v>
      </c>
      <c r="C147" s="5" t="s">
        <v>111</v>
      </c>
      <c r="D147" t="s">
        <v>29</v>
      </c>
      <c r="E147" s="4">
        <v>2</v>
      </c>
      <c r="F147" s="3">
        <v>2354</v>
      </c>
      <c r="G147" s="3">
        <v>4708</v>
      </c>
      <c r="H147" t="s">
        <v>12</v>
      </c>
      <c r="I147" t="s">
        <v>55</v>
      </c>
      <c r="J147" t="str">
        <f t="shared" si="11"/>
        <v>Ok</v>
      </c>
      <c r="K147" t="b">
        <f t="shared" si="12"/>
        <v>0</v>
      </c>
      <c r="L147" t="str">
        <f t="shared" si="13"/>
        <v>INDIA</v>
      </c>
      <c r="M147" t="str">
        <f t="shared" si="14"/>
        <v>Valid</v>
      </c>
      <c r="N147" t="str">
        <f>_xlfn.XLOOKUP(D147, Product_Master!A:A, Product_Master!A:A, "Invalid")</f>
        <v>P13</v>
      </c>
      <c r="O147" t="str">
        <f t="shared" si="15"/>
        <v>Clean</v>
      </c>
    </row>
    <row r="148" spans="1:15" x14ac:dyDescent="0.55000000000000004">
      <c r="A148">
        <v>1147</v>
      </c>
      <c r="B148" t="s">
        <v>239</v>
      </c>
      <c r="C148" s="5" t="s">
        <v>120</v>
      </c>
      <c r="D148" t="s">
        <v>32</v>
      </c>
      <c r="E148" s="4">
        <v>1</v>
      </c>
      <c r="F148" s="3">
        <v>7820</v>
      </c>
      <c r="G148" s="3">
        <v>7820</v>
      </c>
      <c r="H148" t="s">
        <v>17</v>
      </c>
      <c r="I148" t="s">
        <v>55</v>
      </c>
      <c r="J148" t="str">
        <f t="shared" si="11"/>
        <v>Ok</v>
      </c>
      <c r="K148" t="b">
        <f t="shared" si="12"/>
        <v>0</v>
      </c>
      <c r="L148" t="str">
        <f t="shared" si="13"/>
        <v>CANADA</v>
      </c>
      <c r="M148" t="str">
        <f t="shared" si="14"/>
        <v>Valid</v>
      </c>
      <c r="N148" t="str">
        <f>_xlfn.XLOOKUP(D148, Product_Master!A:A, Product_Master!A:A, "Invalid")</f>
        <v>P04</v>
      </c>
      <c r="O148" t="str">
        <f t="shared" si="15"/>
        <v>Clean</v>
      </c>
    </row>
    <row r="149" spans="1:15" x14ac:dyDescent="0.55000000000000004">
      <c r="A149">
        <v>1148</v>
      </c>
      <c r="B149" t="s">
        <v>240</v>
      </c>
      <c r="C149" s="5" t="s">
        <v>111</v>
      </c>
      <c r="D149" t="s">
        <v>29</v>
      </c>
      <c r="E149" s="4">
        <v>3</v>
      </c>
      <c r="F149" s="3">
        <v>7988</v>
      </c>
      <c r="G149" s="3">
        <v>23964</v>
      </c>
      <c r="H149" t="s">
        <v>17</v>
      </c>
      <c r="I149" t="s">
        <v>13</v>
      </c>
      <c r="J149" t="str">
        <f t="shared" si="11"/>
        <v>Ok</v>
      </c>
      <c r="K149" t="b">
        <f t="shared" si="12"/>
        <v>0</v>
      </c>
      <c r="L149" t="str">
        <f t="shared" si="13"/>
        <v>CANADA</v>
      </c>
      <c r="M149" t="str">
        <f t="shared" si="14"/>
        <v>Valid</v>
      </c>
      <c r="N149" t="str">
        <f>_xlfn.XLOOKUP(D149, Product_Master!A:A, Product_Master!A:A, "Invalid")</f>
        <v>P13</v>
      </c>
      <c r="O149" t="str">
        <f t="shared" si="15"/>
        <v>Clean</v>
      </c>
    </row>
    <row r="150" spans="1:15" x14ac:dyDescent="0.55000000000000004">
      <c r="A150">
        <v>1149</v>
      </c>
      <c r="B150" t="s">
        <v>241</v>
      </c>
      <c r="C150" s="5" t="s">
        <v>68</v>
      </c>
      <c r="D150" t="s">
        <v>35</v>
      </c>
      <c r="E150" s="4">
        <v>5</v>
      </c>
      <c r="F150" s="3">
        <v>629</v>
      </c>
      <c r="G150" s="3">
        <v>3145</v>
      </c>
      <c r="H150" t="s">
        <v>17</v>
      </c>
      <c r="I150" t="s">
        <v>13</v>
      </c>
      <c r="J150" t="str">
        <f t="shared" si="11"/>
        <v>Ok</v>
      </c>
      <c r="K150" t="b">
        <f t="shared" si="12"/>
        <v>0</v>
      </c>
      <c r="L150" t="str">
        <f t="shared" si="13"/>
        <v>CANADA</v>
      </c>
      <c r="M150" t="str">
        <f t="shared" si="14"/>
        <v>Valid</v>
      </c>
      <c r="N150" t="str">
        <f>_xlfn.XLOOKUP(D150, Product_Master!A:A, Product_Master!A:A, "Invalid")</f>
        <v>P10</v>
      </c>
      <c r="O150" t="str">
        <f t="shared" si="15"/>
        <v>Clean</v>
      </c>
    </row>
    <row r="151" spans="1:15" x14ac:dyDescent="0.55000000000000004">
      <c r="A151">
        <v>1150</v>
      </c>
      <c r="B151" t="s">
        <v>242</v>
      </c>
      <c r="C151" s="5" t="s">
        <v>63</v>
      </c>
      <c r="D151" t="s">
        <v>25</v>
      </c>
      <c r="E151" s="4">
        <v>5</v>
      </c>
      <c r="F151" s="3">
        <v>1325</v>
      </c>
      <c r="G151" s="3">
        <v>6625</v>
      </c>
      <c r="H151" t="s">
        <v>17</v>
      </c>
      <c r="I151" t="s">
        <v>18</v>
      </c>
      <c r="J151" t="str">
        <f t="shared" si="11"/>
        <v>Ok</v>
      </c>
      <c r="K151" t="b">
        <f t="shared" si="12"/>
        <v>0</v>
      </c>
      <c r="L151" t="str">
        <f t="shared" si="13"/>
        <v>CANADA</v>
      </c>
      <c r="M151" t="str">
        <f t="shared" si="14"/>
        <v>Valid</v>
      </c>
      <c r="N151" t="str">
        <f>_xlfn.XLOOKUP(D151, Product_Master!A:A, Product_Master!A:A, "Invalid")</f>
        <v>P09</v>
      </c>
      <c r="O151" t="str">
        <f t="shared" si="15"/>
        <v>Clean</v>
      </c>
    </row>
    <row r="152" spans="1:15" x14ac:dyDescent="0.55000000000000004">
      <c r="A152">
        <v>1151</v>
      </c>
      <c r="B152" t="s">
        <v>243</v>
      </c>
      <c r="C152" s="5" t="s">
        <v>116</v>
      </c>
      <c r="D152" t="s">
        <v>35</v>
      </c>
      <c r="E152" s="4">
        <v>1</v>
      </c>
      <c r="G152" s="3">
        <v>1522</v>
      </c>
      <c r="H152" t="s">
        <v>17</v>
      </c>
      <c r="I152" t="s">
        <v>18</v>
      </c>
      <c r="J152" t="str">
        <f t="shared" si="11"/>
        <v>Mismatch</v>
      </c>
      <c r="K152" t="b">
        <f t="shared" si="12"/>
        <v>0</v>
      </c>
      <c r="L152" t="str">
        <f t="shared" si="13"/>
        <v>CANADA</v>
      </c>
      <c r="M152" t="str">
        <f t="shared" si="14"/>
        <v>Valid</v>
      </c>
      <c r="N152" t="str">
        <f>_xlfn.XLOOKUP(D152, Product_Master!A:A, Product_Master!A:A, "Invalid")</f>
        <v>P10</v>
      </c>
      <c r="O152" t="str">
        <f t="shared" si="15"/>
        <v>Problem</v>
      </c>
    </row>
    <row r="153" spans="1:15" x14ac:dyDescent="0.55000000000000004">
      <c r="A153">
        <v>1152</v>
      </c>
      <c r="B153" t="s">
        <v>244</v>
      </c>
      <c r="C153" s="5" t="s">
        <v>85</v>
      </c>
      <c r="D153" t="s">
        <v>39</v>
      </c>
      <c r="E153" s="4">
        <v>5</v>
      </c>
      <c r="F153" s="3">
        <v>4582</v>
      </c>
      <c r="G153" s="3">
        <v>22910</v>
      </c>
      <c r="H153" t="s">
        <v>17</v>
      </c>
      <c r="I153" t="s">
        <v>13</v>
      </c>
      <c r="J153" t="str">
        <f t="shared" si="11"/>
        <v>Ok</v>
      </c>
      <c r="K153" t="b">
        <f t="shared" si="12"/>
        <v>0</v>
      </c>
      <c r="L153" t="str">
        <f t="shared" si="13"/>
        <v>CANADA</v>
      </c>
      <c r="M153" t="str">
        <f t="shared" si="14"/>
        <v>Valid</v>
      </c>
      <c r="N153" t="str">
        <f>_xlfn.XLOOKUP(D153, Product_Master!A:A, Product_Master!A:A, "Invalid")</f>
        <v>P12</v>
      </c>
      <c r="O153" t="str">
        <f t="shared" si="15"/>
        <v>Clean</v>
      </c>
    </row>
    <row r="154" spans="1:15" x14ac:dyDescent="0.55000000000000004">
      <c r="A154">
        <v>1153</v>
      </c>
      <c r="B154" t="s">
        <v>245</v>
      </c>
      <c r="C154" s="5" t="s">
        <v>34</v>
      </c>
      <c r="D154" t="s">
        <v>21</v>
      </c>
      <c r="E154" s="4">
        <v>4</v>
      </c>
      <c r="F154" s="3">
        <v>2295</v>
      </c>
      <c r="G154" s="3">
        <v>9180</v>
      </c>
      <c r="H154" t="s">
        <v>12</v>
      </c>
      <c r="I154" t="s">
        <v>18</v>
      </c>
      <c r="J154" t="str">
        <f t="shared" si="11"/>
        <v>Ok</v>
      </c>
      <c r="K154" t="b">
        <f t="shared" si="12"/>
        <v>0</v>
      </c>
      <c r="L154" t="str">
        <f t="shared" si="13"/>
        <v>INDIA</v>
      </c>
      <c r="M154" t="str">
        <f t="shared" si="14"/>
        <v>Valid</v>
      </c>
      <c r="N154" t="str">
        <f>_xlfn.XLOOKUP(D154, Product_Master!A:A, Product_Master!A:A, "Invalid")</f>
        <v>P15</v>
      </c>
      <c r="O154" t="str">
        <f t="shared" si="15"/>
        <v>Clean</v>
      </c>
    </row>
    <row r="155" spans="1:15" x14ac:dyDescent="0.55000000000000004">
      <c r="A155">
        <v>1154</v>
      </c>
      <c r="B155" t="s">
        <v>246</v>
      </c>
      <c r="C155" s="5" t="s">
        <v>151</v>
      </c>
      <c r="D155" t="s">
        <v>81</v>
      </c>
      <c r="E155" s="4">
        <v>2</v>
      </c>
      <c r="F155" s="3">
        <v>1407</v>
      </c>
      <c r="G155" s="3">
        <v>2814</v>
      </c>
      <c r="H155" t="s">
        <v>26</v>
      </c>
      <c r="I155" t="s">
        <v>55</v>
      </c>
      <c r="J155" t="str">
        <f t="shared" si="11"/>
        <v>Ok</v>
      </c>
      <c r="K155" t="b">
        <f t="shared" si="12"/>
        <v>0</v>
      </c>
      <c r="L155" t="str">
        <f t="shared" si="13"/>
        <v>UK</v>
      </c>
      <c r="M155" t="str">
        <f t="shared" si="14"/>
        <v>Valid</v>
      </c>
      <c r="N155" t="str">
        <f>_xlfn.XLOOKUP(D155, Product_Master!A:A, Product_Master!A:A, "Invalid")</f>
        <v>P06</v>
      </c>
      <c r="O155" t="str">
        <f t="shared" si="15"/>
        <v>Clean</v>
      </c>
    </row>
    <row r="156" spans="1:15" x14ac:dyDescent="0.55000000000000004">
      <c r="A156">
        <v>1155</v>
      </c>
      <c r="B156" t="s">
        <v>247</v>
      </c>
      <c r="C156" s="5" t="s">
        <v>101</v>
      </c>
      <c r="D156" t="s">
        <v>145</v>
      </c>
      <c r="E156" s="4">
        <v>5</v>
      </c>
      <c r="F156" s="3">
        <v>9213</v>
      </c>
      <c r="G156" s="3">
        <v>46065</v>
      </c>
      <c r="H156" t="s">
        <v>17</v>
      </c>
      <c r="I156" t="s">
        <v>55</v>
      </c>
      <c r="J156" t="str">
        <f t="shared" si="11"/>
        <v>Ok</v>
      </c>
      <c r="K156" t="b">
        <f t="shared" si="12"/>
        <v>0</v>
      </c>
      <c r="L156" t="str">
        <f t="shared" si="13"/>
        <v>CANADA</v>
      </c>
      <c r="M156" t="str">
        <f t="shared" si="14"/>
        <v>Valid</v>
      </c>
      <c r="N156" t="str">
        <f>_xlfn.XLOOKUP(D156, Product_Master!A:A, Product_Master!A:A, "Invalid")</f>
        <v>P02</v>
      </c>
      <c r="O156" t="str">
        <f t="shared" si="15"/>
        <v>Clean</v>
      </c>
    </row>
    <row r="157" spans="1:15" x14ac:dyDescent="0.55000000000000004">
      <c r="A157">
        <v>1156</v>
      </c>
      <c r="B157" t="s">
        <v>248</v>
      </c>
      <c r="C157" s="5" t="s">
        <v>104</v>
      </c>
      <c r="D157" t="s">
        <v>51</v>
      </c>
      <c r="E157" s="4">
        <v>3</v>
      </c>
      <c r="F157" s="3">
        <v>619</v>
      </c>
      <c r="G157" s="3">
        <v>1857</v>
      </c>
      <c r="H157" t="s">
        <v>12</v>
      </c>
      <c r="I157" t="s">
        <v>18</v>
      </c>
      <c r="J157" t="str">
        <f t="shared" si="11"/>
        <v>Ok</v>
      </c>
      <c r="K157" t="b">
        <f t="shared" si="12"/>
        <v>0</v>
      </c>
      <c r="L157" t="str">
        <f t="shared" si="13"/>
        <v>INDIA</v>
      </c>
      <c r="M157" t="str">
        <f t="shared" si="14"/>
        <v>Valid</v>
      </c>
      <c r="N157" t="str">
        <f>_xlfn.XLOOKUP(D157, Product_Master!A:A, Product_Master!A:A, "Invalid")</f>
        <v>P01</v>
      </c>
      <c r="O157" t="str">
        <f t="shared" si="15"/>
        <v>Clean</v>
      </c>
    </row>
    <row r="158" spans="1:15" x14ac:dyDescent="0.55000000000000004">
      <c r="A158">
        <v>1157</v>
      </c>
      <c r="B158" t="s">
        <v>249</v>
      </c>
      <c r="C158" s="5" t="s">
        <v>159</v>
      </c>
      <c r="D158" t="s">
        <v>145</v>
      </c>
      <c r="E158" s="4">
        <v>1</v>
      </c>
      <c r="F158" s="3">
        <v>3532</v>
      </c>
      <c r="G158" s="3">
        <v>3532</v>
      </c>
      <c r="H158" t="s">
        <v>22</v>
      </c>
      <c r="I158" t="s">
        <v>13</v>
      </c>
      <c r="J158" t="str">
        <f t="shared" si="11"/>
        <v>Ok</v>
      </c>
      <c r="K158" t="b">
        <f t="shared" si="12"/>
        <v>0</v>
      </c>
      <c r="L158" t="str">
        <f t="shared" si="13"/>
        <v>USA</v>
      </c>
      <c r="M158" t="str">
        <f t="shared" si="14"/>
        <v>Valid</v>
      </c>
      <c r="N158" t="str">
        <f>_xlfn.XLOOKUP(D158, Product_Master!A:A, Product_Master!A:A, "Invalid")</f>
        <v>P02</v>
      </c>
      <c r="O158" t="str">
        <f t="shared" si="15"/>
        <v>Clean</v>
      </c>
    </row>
    <row r="159" spans="1:15" x14ac:dyDescent="0.55000000000000004">
      <c r="A159">
        <v>1158</v>
      </c>
      <c r="B159" t="s">
        <v>250</v>
      </c>
      <c r="C159" s="5" t="s">
        <v>129</v>
      </c>
      <c r="D159" t="s">
        <v>16</v>
      </c>
      <c r="E159" s="4">
        <v>1</v>
      </c>
      <c r="F159" s="3">
        <v>1609</v>
      </c>
      <c r="G159" s="3">
        <v>1609</v>
      </c>
      <c r="H159" t="s">
        <v>26</v>
      </c>
      <c r="I159" t="s">
        <v>18</v>
      </c>
      <c r="J159" t="str">
        <f t="shared" si="11"/>
        <v>Ok</v>
      </c>
      <c r="K159" t="b">
        <f t="shared" si="12"/>
        <v>0</v>
      </c>
      <c r="L159" t="str">
        <f t="shared" si="13"/>
        <v>UK</v>
      </c>
      <c r="M159" t="str">
        <f t="shared" si="14"/>
        <v>Valid</v>
      </c>
      <c r="N159" t="str">
        <f>_xlfn.XLOOKUP(D159, Product_Master!A:A, Product_Master!A:A, "Invalid")</f>
        <v>P07</v>
      </c>
      <c r="O159" t="str">
        <f t="shared" si="15"/>
        <v>Clean</v>
      </c>
    </row>
    <row r="160" spans="1:15" x14ac:dyDescent="0.55000000000000004">
      <c r="A160">
        <v>1159</v>
      </c>
      <c r="B160" t="s">
        <v>251</v>
      </c>
      <c r="C160" s="5" t="s">
        <v>125</v>
      </c>
      <c r="D160" t="s">
        <v>29</v>
      </c>
      <c r="E160" s="4">
        <v>1</v>
      </c>
      <c r="F160" s="3">
        <v>8664</v>
      </c>
      <c r="G160" s="3">
        <v>8664</v>
      </c>
      <c r="H160" t="s">
        <v>12</v>
      </c>
      <c r="I160" t="s">
        <v>18</v>
      </c>
      <c r="J160" t="str">
        <f t="shared" si="11"/>
        <v>Ok</v>
      </c>
      <c r="K160" t="b">
        <f t="shared" si="12"/>
        <v>0</v>
      </c>
      <c r="L160" t="str">
        <f t="shared" si="13"/>
        <v>INDIA</v>
      </c>
      <c r="M160" t="str">
        <f t="shared" si="14"/>
        <v>Valid</v>
      </c>
      <c r="N160" t="str">
        <f>_xlfn.XLOOKUP(D160, Product_Master!A:A, Product_Master!A:A, "Invalid")</f>
        <v>P13</v>
      </c>
      <c r="O160" t="str">
        <f t="shared" si="15"/>
        <v>Clean</v>
      </c>
    </row>
    <row r="161" spans="1:15" x14ac:dyDescent="0.55000000000000004">
      <c r="A161">
        <v>1160</v>
      </c>
      <c r="B161" t="s">
        <v>252</v>
      </c>
      <c r="C161" s="5" t="s">
        <v>68</v>
      </c>
      <c r="D161" t="s">
        <v>51</v>
      </c>
      <c r="E161" s="4">
        <v>1</v>
      </c>
      <c r="F161" s="3">
        <v>3268</v>
      </c>
      <c r="G161" s="3">
        <v>3268</v>
      </c>
      <c r="H161" t="s">
        <v>17</v>
      </c>
      <c r="I161" t="s">
        <v>13</v>
      </c>
      <c r="J161" t="str">
        <f t="shared" si="11"/>
        <v>Ok</v>
      </c>
      <c r="K161" t="b">
        <f t="shared" si="12"/>
        <v>0</v>
      </c>
      <c r="L161" t="str">
        <f t="shared" si="13"/>
        <v>CANADA</v>
      </c>
      <c r="M161" t="str">
        <f t="shared" si="14"/>
        <v>Valid</v>
      </c>
      <c r="N161" t="str">
        <f>_xlfn.XLOOKUP(D161, Product_Master!A:A, Product_Master!A:A, "Invalid")</f>
        <v>P01</v>
      </c>
      <c r="O161" t="str">
        <f t="shared" si="15"/>
        <v>Clean</v>
      </c>
    </row>
    <row r="162" spans="1:15" x14ac:dyDescent="0.55000000000000004">
      <c r="A162">
        <v>1161</v>
      </c>
      <c r="B162" t="s">
        <v>253</v>
      </c>
      <c r="C162" s="5" t="s">
        <v>63</v>
      </c>
      <c r="D162" t="s">
        <v>29</v>
      </c>
      <c r="E162" s="4">
        <v>3</v>
      </c>
      <c r="G162" s="3">
        <v>12132</v>
      </c>
      <c r="H162" t="s">
        <v>22</v>
      </c>
      <c r="I162" t="s">
        <v>13</v>
      </c>
      <c r="J162" t="str">
        <f t="shared" si="11"/>
        <v>Mismatch</v>
      </c>
      <c r="K162" t="b">
        <f t="shared" si="12"/>
        <v>0</v>
      </c>
      <c r="L162" t="str">
        <f t="shared" si="13"/>
        <v>USA</v>
      </c>
      <c r="M162" t="str">
        <f t="shared" si="14"/>
        <v>Valid</v>
      </c>
      <c r="N162" t="str">
        <f>_xlfn.XLOOKUP(D162, Product_Master!A:A, Product_Master!A:A, "Invalid")</f>
        <v>P13</v>
      </c>
      <c r="O162" t="str">
        <f t="shared" si="15"/>
        <v>Problem</v>
      </c>
    </row>
    <row r="163" spans="1:15" x14ac:dyDescent="0.55000000000000004">
      <c r="A163">
        <v>1162</v>
      </c>
      <c r="B163" t="s">
        <v>254</v>
      </c>
      <c r="C163" s="5" t="s">
        <v>143</v>
      </c>
      <c r="D163" t="s">
        <v>81</v>
      </c>
      <c r="E163" s="4">
        <v>2</v>
      </c>
      <c r="F163" s="3">
        <v>4672</v>
      </c>
      <c r="G163" s="3">
        <v>9344</v>
      </c>
      <c r="H163" t="s">
        <v>12</v>
      </c>
      <c r="I163" t="s">
        <v>55</v>
      </c>
      <c r="J163" t="str">
        <f t="shared" si="11"/>
        <v>Ok</v>
      </c>
      <c r="K163" t="b">
        <f t="shared" si="12"/>
        <v>0</v>
      </c>
      <c r="L163" t="str">
        <f t="shared" si="13"/>
        <v>INDIA</v>
      </c>
      <c r="M163" t="str">
        <f t="shared" si="14"/>
        <v>Valid</v>
      </c>
      <c r="N163" t="str">
        <f>_xlfn.XLOOKUP(D163, Product_Master!A:A, Product_Master!A:A, "Invalid")</f>
        <v>P06</v>
      </c>
      <c r="O163" t="str">
        <f t="shared" si="15"/>
        <v>Clean</v>
      </c>
    </row>
    <row r="164" spans="1:15" x14ac:dyDescent="0.55000000000000004">
      <c r="A164">
        <v>1163</v>
      </c>
      <c r="B164" t="s">
        <v>255</v>
      </c>
      <c r="C164" s="5" t="s">
        <v>31</v>
      </c>
      <c r="D164" t="s">
        <v>29</v>
      </c>
      <c r="E164" s="4">
        <v>2</v>
      </c>
      <c r="F164" s="3">
        <v>4542</v>
      </c>
      <c r="G164" s="3">
        <v>9084</v>
      </c>
      <c r="H164" t="s">
        <v>17</v>
      </c>
      <c r="I164" t="s">
        <v>55</v>
      </c>
      <c r="J164" t="str">
        <f t="shared" si="11"/>
        <v>Ok</v>
      </c>
      <c r="K164" t="b">
        <f t="shared" si="12"/>
        <v>0</v>
      </c>
      <c r="L164" t="str">
        <f t="shared" si="13"/>
        <v>CANADA</v>
      </c>
      <c r="M164" t="str">
        <f t="shared" si="14"/>
        <v>Valid</v>
      </c>
      <c r="N164" t="str">
        <f>_xlfn.XLOOKUP(D164, Product_Master!A:A, Product_Master!A:A, "Invalid")</f>
        <v>P13</v>
      </c>
      <c r="O164" t="str">
        <f t="shared" si="15"/>
        <v>Clean</v>
      </c>
    </row>
    <row r="165" spans="1:15" x14ac:dyDescent="0.55000000000000004">
      <c r="A165">
        <v>1164</v>
      </c>
      <c r="B165" t="s">
        <v>256</v>
      </c>
      <c r="C165" s="5" t="s">
        <v>136</v>
      </c>
      <c r="D165" t="s">
        <v>141</v>
      </c>
      <c r="E165" s="4">
        <v>1</v>
      </c>
      <c r="F165" s="3">
        <v>4896</v>
      </c>
      <c r="G165" s="3">
        <v>4896</v>
      </c>
      <c r="H165" t="s">
        <v>22</v>
      </c>
      <c r="I165" t="s">
        <v>55</v>
      </c>
      <c r="J165" t="str">
        <f t="shared" si="11"/>
        <v>Ok</v>
      </c>
      <c r="K165" t="b">
        <f t="shared" si="12"/>
        <v>0</v>
      </c>
      <c r="L165" t="str">
        <f t="shared" si="13"/>
        <v>USA</v>
      </c>
      <c r="M165" t="str">
        <f t="shared" si="14"/>
        <v>Valid</v>
      </c>
      <c r="N165" t="str">
        <f>_xlfn.XLOOKUP(D165, Product_Master!A:A, Product_Master!A:A, "Invalid")</f>
        <v>P14</v>
      </c>
      <c r="O165" t="str">
        <f t="shared" si="15"/>
        <v>Clean</v>
      </c>
    </row>
    <row r="166" spans="1:15" x14ac:dyDescent="0.55000000000000004">
      <c r="A166">
        <v>1165</v>
      </c>
      <c r="B166" t="s">
        <v>257</v>
      </c>
      <c r="C166" s="5" t="s">
        <v>34</v>
      </c>
      <c r="D166" t="s">
        <v>11</v>
      </c>
      <c r="E166" s="4">
        <v>4</v>
      </c>
      <c r="F166" s="3">
        <v>7613</v>
      </c>
      <c r="G166" s="3">
        <v>30452</v>
      </c>
      <c r="H166" t="s">
        <v>22</v>
      </c>
      <c r="I166" t="s">
        <v>13</v>
      </c>
      <c r="J166" t="str">
        <f t="shared" si="11"/>
        <v>Ok</v>
      </c>
      <c r="K166" t="b">
        <f t="shared" si="12"/>
        <v>0</v>
      </c>
      <c r="L166" t="str">
        <f t="shared" si="13"/>
        <v>USA</v>
      </c>
      <c r="M166" t="str">
        <f t="shared" si="14"/>
        <v>Valid</v>
      </c>
      <c r="N166" t="str">
        <f>_xlfn.XLOOKUP(D166, Product_Master!A:A, Product_Master!A:A, "Invalid")</f>
        <v>P05</v>
      </c>
      <c r="O166" t="str">
        <f t="shared" si="15"/>
        <v>Clean</v>
      </c>
    </row>
    <row r="167" spans="1:15" x14ac:dyDescent="0.55000000000000004">
      <c r="A167">
        <v>1166</v>
      </c>
      <c r="B167" t="s">
        <v>258</v>
      </c>
      <c r="C167" s="5" t="s">
        <v>89</v>
      </c>
      <c r="D167" t="s">
        <v>16</v>
      </c>
      <c r="E167" s="4">
        <v>5</v>
      </c>
      <c r="F167" s="3">
        <v>2363</v>
      </c>
      <c r="G167" s="3">
        <v>11815</v>
      </c>
      <c r="H167" t="s">
        <v>26</v>
      </c>
      <c r="I167" t="s">
        <v>55</v>
      </c>
      <c r="J167" t="str">
        <f t="shared" si="11"/>
        <v>Ok</v>
      </c>
      <c r="K167" t="b">
        <f t="shared" si="12"/>
        <v>0</v>
      </c>
      <c r="L167" t="str">
        <f t="shared" si="13"/>
        <v>UK</v>
      </c>
      <c r="M167" t="str">
        <f t="shared" si="14"/>
        <v>Valid</v>
      </c>
      <c r="N167" t="str">
        <f>_xlfn.XLOOKUP(D167, Product_Master!A:A, Product_Master!A:A, "Invalid")</f>
        <v>P07</v>
      </c>
      <c r="O167" t="str">
        <f t="shared" si="15"/>
        <v>Clean</v>
      </c>
    </row>
    <row r="168" spans="1:15" x14ac:dyDescent="0.55000000000000004">
      <c r="A168">
        <v>1167</v>
      </c>
      <c r="B168" t="s">
        <v>259</v>
      </c>
      <c r="C168" s="5" t="s">
        <v>63</v>
      </c>
      <c r="D168" t="s">
        <v>145</v>
      </c>
      <c r="E168" s="4">
        <v>3</v>
      </c>
      <c r="F168" s="3">
        <v>6545</v>
      </c>
      <c r="G168" s="3">
        <v>19635</v>
      </c>
      <c r="H168" t="s">
        <v>17</v>
      </c>
      <c r="I168" t="s">
        <v>55</v>
      </c>
      <c r="J168" t="str">
        <f t="shared" si="11"/>
        <v>Ok</v>
      </c>
      <c r="K168" t="b">
        <f t="shared" si="12"/>
        <v>0</v>
      </c>
      <c r="L168" t="str">
        <f t="shared" si="13"/>
        <v>CANADA</v>
      </c>
      <c r="M168" t="str">
        <f t="shared" si="14"/>
        <v>Valid</v>
      </c>
      <c r="N168" t="str">
        <f>_xlfn.XLOOKUP(D168, Product_Master!A:A, Product_Master!A:A, "Invalid")</f>
        <v>P02</v>
      </c>
      <c r="O168" t="str">
        <f t="shared" si="15"/>
        <v>Clean</v>
      </c>
    </row>
    <row r="169" spans="1:15" x14ac:dyDescent="0.55000000000000004">
      <c r="A169">
        <v>1168</v>
      </c>
      <c r="B169" t="s">
        <v>260</v>
      </c>
      <c r="C169" s="5" t="s">
        <v>50</v>
      </c>
      <c r="D169" t="s">
        <v>44</v>
      </c>
      <c r="E169" s="4">
        <v>5</v>
      </c>
      <c r="F169" s="3">
        <v>4014</v>
      </c>
      <c r="G169" s="3">
        <v>20070</v>
      </c>
      <c r="H169" t="s">
        <v>17</v>
      </c>
      <c r="I169" t="s">
        <v>13</v>
      </c>
      <c r="J169" t="str">
        <f t="shared" si="11"/>
        <v>Ok</v>
      </c>
      <c r="K169" t="b">
        <f t="shared" si="12"/>
        <v>0</v>
      </c>
      <c r="L169" t="str">
        <f t="shared" si="13"/>
        <v>CANADA</v>
      </c>
      <c r="M169" t="str">
        <f t="shared" si="14"/>
        <v>Valid</v>
      </c>
      <c r="N169" t="str">
        <f>_xlfn.XLOOKUP(D169, Product_Master!A:A, Product_Master!A:A, "Invalid")</f>
        <v>P11</v>
      </c>
      <c r="O169" t="str">
        <f t="shared" si="15"/>
        <v>Clean</v>
      </c>
    </row>
    <row r="170" spans="1:15" x14ac:dyDescent="0.55000000000000004">
      <c r="A170">
        <v>1169</v>
      </c>
      <c r="B170" t="s">
        <v>261</v>
      </c>
      <c r="C170" s="5" t="s">
        <v>101</v>
      </c>
      <c r="D170" t="s">
        <v>81</v>
      </c>
      <c r="E170" s="4">
        <v>4</v>
      </c>
      <c r="F170" s="3">
        <v>5515</v>
      </c>
      <c r="G170" s="3">
        <v>22060</v>
      </c>
      <c r="H170" t="s">
        <v>17</v>
      </c>
      <c r="I170" t="s">
        <v>55</v>
      </c>
      <c r="J170" t="str">
        <f t="shared" si="11"/>
        <v>Ok</v>
      </c>
      <c r="K170" t="b">
        <f t="shared" si="12"/>
        <v>0</v>
      </c>
      <c r="L170" t="str">
        <f t="shared" si="13"/>
        <v>CANADA</v>
      </c>
      <c r="M170" t="str">
        <f t="shared" si="14"/>
        <v>Valid</v>
      </c>
      <c r="N170" t="str">
        <f>_xlfn.XLOOKUP(D170, Product_Master!A:A, Product_Master!A:A, "Invalid")</f>
        <v>P06</v>
      </c>
      <c r="O170" t="str">
        <f t="shared" si="15"/>
        <v>Clean</v>
      </c>
    </row>
    <row r="171" spans="1:15" x14ac:dyDescent="0.55000000000000004">
      <c r="A171">
        <v>1170</v>
      </c>
      <c r="B171" t="s">
        <v>262</v>
      </c>
      <c r="C171" s="5" t="s">
        <v>143</v>
      </c>
      <c r="D171" t="s">
        <v>25</v>
      </c>
      <c r="E171" s="4">
        <v>3</v>
      </c>
      <c r="F171" s="3">
        <v>3651</v>
      </c>
      <c r="G171" s="3">
        <v>10953</v>
      </c>
      <c r="H171" t="s">
        <v>12</v>
      </c>
      <c r="I171" t="s">
        <v>55</v>
      </c>
      <c r="J171" t="str">
        <f t="shared" si="11"/>
        <v>Ok</v>
      </c>
      <c r="K171" t="b">
        <f t="shared" si="12"/>
        <v>0</v>
      </c>
      <c r="L171" t="str">
        <f t="shared" si="13"/>
        <v>INDIA</v>
      </c>
      <c r="M171" t="str">
        <f t="shared" si="14"/>
        <v>Valid</v>
      </c>
      <c r="N171" t="str">
        <f>_xlfn.XLOOKUP(D171, Product_Master!A:A, Product_Master!A:A, "Invalid")</f>
        <v>P09</v>
      </c>
      <c r="O171" t="str">
        <f t="shared" si="15"/>
        <v>Clean</v>
      </c>
    </row>
    <row r="172" spans="1:15" x14ac:dyDescent="0.55000000000000004">
      <c r="A172">
        <v>1171</v>
      </c>
      <c r="B172" t="s">
        <v>263</v>
      </c>
      <c r="C172" s="5" t="s">
        <v>41</v>
      </c>
      <c r="D172" t="s">
        <v>29</v>
      </c>
      <c r="E172" s="4">
        <v>4</v>
      </c>
      <c r="F172" s="3">
        <v>5950</v>
      </c>
      <c r="G172" s="3">
        <v>23800</v>
      </c>
      <c r="H172" t="s">
        <v>12</v>
      </c>
      <c r="I172" t="s">
        <v>13</v>
      </c>
      <c r="J172" t="str">
        <f t="shared" si="11"/>
        <v>Ok</v>
      </c>
      <c r="K172" t="b">
        <f t="shared" si="12"/>
        <v>0</v>
      </c>
      <c r="L172" t="str">
        <f t="shared" si="13"/>
        <v>INDIA</v>
      </c>
      <c r="M172" t="str">
        <f t="shared" si="14"/>
        <v>Valid</v>
      </c>
      <c r="N172" t="str">
        <f>_xlfn.XLOOKUP(D172, Product_Master!A:A, Product_Master!A:A, "Invalid")</f>
        <v>P13</v>
      </c>
      <c r="O172" t="str">
        <f t="shared" si="15"/>
        <v>Clean</v>
      </c>
    </row>
    <row r="173" spans="1:15" x14ac:dyDescent="0.55000000000000004">
      <c r="A173">
        <v>1172</v>
      </c>
      <c r="B173" t="s">
        <v>264</v>
      </c>
      <c r="C173" s="5" t="s">
        <v>118</v>
      </c>
      <c r="D173" t="s">
        <v>141</v>
      </c>
      <c r="E173" s="4">
        <v>1</v>
      </c>
      <c r="F173" s="3">
        <v>4661</v>
      </c>
      <c r="G173" s="3">
        <v>4661</v>
      </c>
      <c r="H173" t="s">
        <v>22</v>
      </c>
      <c r="I173" t="s">
        <v>13</v>
      </c>
      <c r="J173" t="str">
        <f t="shared" si="11"/>
        <v>Ok</v>
      </c>
      <c r="K173" t="b">
        <f t="shared" si="12"/>
        <v>0</v>
      </c>
      <c r="L173" t="str">
        <f t="shared" si="13"/>
        <v>USA</v>
      </c>
      <c r="M173" t="str">
        <f t="shared" si="14"/>
        <v>Valid</v>
      </c>
      <c r="N173" t="str">
        <f>_xlfn.XLOOKUP(D173, Product_Master!A:A, Product_Master!A:A, "Invalid")</f>
        <v>P14</v>
      </c>
      <c r="O173" t="str">
        <f t="shared" si="15"/>
        <v>Clean</v>
      </c>
    </row>
    <row r="174" spans="1:15" x14ac:dyDescent="0.55000000000000004">
      <c r="A174">
        <v>1173</v>
      </c>
      <c r="B174" t="s">
        <v>265</v>
      </c>
      <c r="C174" s="5" t="s">
        <v>34</v>
      </c>
      <c r="D174" t="s">
        <v>44</v>
      </c>
      <c r="E174" s="4">
        <v>2</v>
      </c>
      <c r="F174" s="3">
        <v>2938</v>
      </c>
      <c r="G174" s="3">
        <v>5876</v>
      </c>
      <c r="H174" t="s">
        <v>12</v>
      </c>
      <c r="I174" t="s">
        <v>18</v>
      </c>
      <c r="J174" t="str">
        <f t="shared" si="11"/>
        <v>Ok</v>
      </c>
      <c r="K174" t="b">
        <f t="shared" si="12"/>
        <v>0</v>
      </c>
      <c r="L174" t="str">
        <f t="shared" si="13"/>
        <v>INDIA</v>
      </c>
      <c r="M174" t="str">
        <f t="shared" si="14"/>
        <v>Valid</v>
      </c>
      <c r="N174" t="str">
        <f>_xlfn.XLOOKUP(D174, Product_Master!A:A, Product_Master!A:A, "Invalid")</f>
        <v>P11</v>
      </c>
      <c r="O174" t="str">
        <f t="shared" si="15"/>
        <v>Clean</v>
      </c>
    </row>
    <row r="175" spans="1:15" x14ac:dyDescent="0.55000000000000004">
      <c r="A175">
        <v>1174</v>
      </c>
      <c r="B175" t="s">
        <v>266</v>
      </c>
      <c r="C175" s="5" t="s">
        <v>180</v>
      </c>
      <c r="D175" t="s">
        <v>11</v>
      </c>
      <c r="E175" s="4">
        <v>1</v>
      </c>
      <c r="F175" s="3">
        <v>8375</v>
      </c>
      <c r="G175" s="3">
        <v>8375</v>
      </c>
      <c r="H175" t="s">
        <v>22</v>
      </c>
      <c r="I175" t="s">
        <v>55</v>
      </c>
      <c r="J175" t="str">
        <f t="shared" si="11"/>
        <v>Ok</v>
      </c>
      <c r="K175" t="b">
        <f t="shared" si="12"/>
        <v>0</v>
      </c>
      <c r="L175" t="str">
        <f t="shared" si="13"/>
        <v>USA</v>
      </c>
      <c r="M175" t="str">
        <f t="shared" si="14"/>
        <v>Valid</v>
      </c>
      <c r="N175" t="str">
        <f>_xlfn.XLOOKUP(D175, Product_Master!A:A, Product_Master!A:A, "Invalid")</f>
        <v>P05</v>
      </c>
      <c r="O175" t="str">
        <f t="shared" si="15"/>
        <v>Clean</v>
      </c>
    </row>
    <row r="176" spans="1:15" x14ac:dyDescent="0.55000000000000004">
      <c r="A176">
        <v>1175</v>
      </c>
      <c r="B176" t="s">
        <v>267</v>
      </c>
      <c r="C176" s="5" t="s">
        <v>159</v>
      </c>
      <c r="D176" t="s">
        <v>44</v>
      </c>
      <c r="E176" s="4">
        <v>4</v>
      </c>
      <c r="F176" s="3">
        <v>6020</v>
      </c>
      <c r="G176" s="3">
        <v>24080</v>
      </c>
      <c r="H176" t="s">
        <v>12</v>
      </c>
      <c r="I176" t="s">
        <v>13</v>
      </c>
      <c r="J176" t="str">
        <f t="shared" si="11"/>
        <v>Ok</v>
      </c>
      <c r="K176" t="b">
        <f t="shared" si="12"/>
        <v>0</v>
      </c>
      <c r="L176" t="str">
        <f t="shared" si="13"/>
        <v>INDIA</v>
      </c>
      <c r="M176" t="str">
        <f t="shared" si="14"/>
        <v>Valid</v>
      </c>
      <c r="N176" t="str">
        <f>_xlfn.XLOOKUP(D176, Product_Master!A:A, Product_Master!A:A, "Invalid")</f>
        <v>P11</v>
      </c>
      <c r="O176" t="str">
        <f t="shared" si="15"/>
        <v>Clean</v>
      </c>
    </row>
    <row r="177" spans="1:15" x14ac:dyDescent="0.55000000000000004">
      <c r="A177">
        <v>1176</v>
      </c>
      <c r="B177" t="s">
        <v>268</v>
      </c>
      <c r="C177" s="5" t="s">
        <v>61</v>
      </c>
      <c r="D177" t="s">
        <v>16</v>
      </c>
      <c r="E177" s="4">
        <v>2</v>
      </c>
      <c r="F177" s="3">
        <v>8188</v>
      </c>
      <c r="G177" s="3">
        <v>16376</v>
      </c>
      <c r="H177" t="s">
        <v>22</v>
      </c>
      <c r="I177" t="s">
        <v>55</v>
      </c>
      <c r="J177" t="str">
        <f t="shared" si="11"/>
        <v>Ok</v>
      </c>
      <c r="K177" t="b">
        <f t="shared" si="12"/>
        <v>0</v>
      </c>
      <c r="L177" t="str">
        <f t="shared" si="13"/>
        <v>USA</v>
      </c>
      <c r="M177" t="str">
        <f t="shared" si="14"/>
        <v>Valid</v>
      </c>
      <c r="N177" t="str">
        <f>_xlfn.XLOOKUP(D177, Product_Master!A:A, Product_Master!A:A, "Invalid")</f>
        <v>P07</v>
      </c>
      <c r="O177" t="str">
        <f t="shared" si="15"/>
        <v>Clean</v>
      </c>
    </row>
    <row r="178" spans="1:15" x14ac:dyDescent="0.55000000000000004">
      <c r="A178">
        <v>1177</v>
      </c>
      <c r="B178" t="s">
        <v>269</v>
      </c>
      <c r="C178" s="5" t="s">
        <v>162</v>
      </c>
      <c r="D178" t="s">
        <v>145</v>
      </c>
      <c r="E178" s="4">
        <v>3</v>
      </c>
      <c r="F178" s="3">
        <v>2551</v>
      </c>
      <c r="G178" s="3">
        <v>7653</v>
      </c>
      <c r="H178" t="s">
        <v>22</v>
      </c>
      <c r="I178" t="s">
        <v>18</v>
      </c>
      <c r="J178" t="str">
        <f t="shared" si="11"/>
        <v>Ok</v>
      </c>
      <c r="K178" t="b">
        <f t="shared" si="12"/>
        <v>0</v>
      </c>
      <c r="L178" t="str">
        <f t="shared" si="13"/>
        <v>USA</v>
      </c>
      <c r="M178" t="str">
        <f t="shared" si="14"/>
        <v>Valid</v>
      </c>
      <c r="N178" t="str">
        <f>_xlfn.XLOOKUP(D178, Product_Master!A:A, Product_Master!A:A, "Invalid")</f>
        <v>P02</v>
      </c>
      <c r="O178" t="str">
        <f t="shared" si="15"/>
        <v>Clean</v>
      </c>
    </row>
    <row r="179" spans="1:15" x14ac:dyDescent="0.55000000000000004">
      <c r="A179">
        <v>1178</v>
      </c>
      <c r="B179" t="s">
        <v>270</v>
      </c>
      <c r="C179" s="5" t="s">
        <v>48</v>
      </c>
      <c r="D179" t="s">
        <v>51</v>
      </c>
      <c r="E179" s="4">
        <v>5</v>
      </c>
      <c r="F179" s="3">
        <v>9851</v>
      </c>
      <c r="G179" s="3">
        <v>49255</v>
      </c>
      <c r="H179" t="s">
        <v>12</v>
      </c>
      <c r="I179" t="s">
        <v>18</v>
      </c>
      <c r="J179" t="str">
        <f t="shared" si="11"/>
        <v>Ok</v>
      </c>
      <c r="K179" t="b">
        <f t="shared" si="12"/>
        <v>0</v>
      </c>
      <c r="L179" t="str">
        <f t="shared" si="13"/>
        <v>INDIA</v>
      </c>
      <c r="M179" t="str">
        <f t="shared" si="14"/>
        <v>Valid</v>
      </c>
      <c r="N179" t="str">
        <f>_xlfn.XLOOKUP(D179, Product_Master!A:A, Product_Master!A:A, "Invalid")</f>
        <v>P01</v>
      </c>
      <c r="O179" t="str">
        <f t="shared" si="15"/>
        <v>Clean</v>
      </c>
    </row>
    <row r="180" spans="1:15" x14ac:dyDescent="0.55000000000000004">
      <c r="A180">
        <v>1179</v>
      </c>
      <c r="B180" t="s">
        <v>271</v>
      </c>
      <c r="C180" s="5" t="s">
        <v>164</v>
      </c>
      <c r="D180" t="s">
        <v>29</v>
      </c>
      <c r="E180" s="4">
        <v>5</v>
      </c>
      <c r="F180" s="3">
        <v>1022</v>
      </c>
      <c r="G180" s="3">
        <v>5110</v>
      </c>
      <c r="H180" t="s">
        <v>26</v>
      </c>
      <c r="I180" t="s">
        <v>13</v>
      </c>
      <c r="J180" t="str">
        <f t="shared" si="11"/>
        <v>Ok</v>
      </c>
      <c r="K180" t="b">
        <f t="shared" si="12"/>
        <v>0</v>
      </c>
      <c r="L180" t="str">
        <f t="shared" si="13"/>
        <v>UK</v>
      </c>
      <c r="M180" t="str">
        <f t="shared" si="14"/>
        <v>Valid</v>
      </c>
      <c r="N180" t="str">
        <f>_xlfn.XLOOKUP(D180, Product_Master!A:A, Product_Master!A:A, "Invalid")</f>
        <v>P13</v>
      </c>
      <c r="O180" t="str">
        <f t="shared" si="15"/>
        <v>Clean</v>
      </c>
    </row>
    <row r="181" spans="1:15" x14ac:dyDescent="0.55000000000000004">
      <c r="A181">
        <v>1180</v>
      </c>
      <c r="B181" t="s">
        <v>272</v>
      </c>
      <c r="C181" s="5" t="s">
        <v>24</v>
      </c>
      <c r="D181" t="s">
        <v>29</v>
      </c>
      <c r="E181" s="4">
        <v>3</v>
      </c>
      <c r="F181" s="3">
        <v>6220</v>
      </c>
      <c r="G181" s="3">
        <v>18660</v>
      </c>
      <c r="H181" t="s">
        <v>17</v>
      </c>
      <c r="I181" t="s">
        <v>18</v>
      </c>
      <c r="J181" t="str">
        <f t="shared" si="11"/>
        <v>Ok</v>
      </c>
      <c r="K181" t="b">
        <f t="shared" si="12"/>
        <v>0</v>
      </c>
      <c r="L181" t="str">
        <f t="shared" si="13"/>
        <v>CANADA</v>
      </c>
      <c r="M181" t="str">
        <f t="shared" si="14"/>
        <v>Valid</v>
      </c>
      <c r="N181" t="str">
        <f>_xlfn.XLOOKUP(D181, Product_Master!A:A, Product_Master!A:A, "Invalid")</f>
        <v>P13</v>
      </c>
      <c r="O181" t="str">
        <f t="shared" si="15"/>
        <v>Clean</v>
      </c>
    </row>
    <row r="182" spans="1:15" x14ac:dyDescent="0.55000000000000004">
      <c r="A182">
        <v>1181</v>
      </c>
      <c r="B182" t="s">
        <v>273</v>
      </c>
      <c r="C182" s="5" t="s">
        <v>77</v>
      </c>
      <c r="D182" t="s">
        <v>145</v>
      </c>
      <c r="E182" s="4">
        <v>4</v>
      </c>
      <c r="F182" s="3">
        <v>5820</v>
      </c>
      <c r="G182" s="3">
        <v>23280</v>
      </c>
      <c r="H182" t="s">
        <v>17</v>
      </c>
      <c r="I182" t="s">
        <v>13</v>
      </c>
      <c r="J182" t="str">
        <f t="shared" si="11"/>
        <v>Ok</v>
      </c>
      <c r="K182" t="b">
        <f t="shared" si="12"/>
        <v>0</v>
      </c>
      <c r="L182" t="str">
        <f t="shared" si="13"/>
        <v>CANADA</v>
      </c>
      <c r="M182" t="str">
        <f t="shared" si="14"/>
        <v>Valid</v>
      </c>
      <c r="N182" t="str">
        <f>_xlfn.XLOOKUP(D182, Product_Master!A:A, Product_Master!A:A, "Invalid")</f>
        <v>P02</v>
      </c>
      <c r="O182" t="str">
        <f t="shared" si="15"/>
        <v>Clean</v>
      </c>
    </row>
    <row r="183" spans="1:15" x14ac:dyDescent="0.55000000000000004">
      <c r="A183">
        <v>1182</v>
      </c>
      <c r="B183" t="s">
        <v>274</v>
      </c>
      <c r="C183" s="5" t="s">
        <v>37</v>
      </c>
      <c r="D183" t="s">
        <v>32</v>
      </c>
      <c r="E183" s="4">
        <v>4</v>
      </c>
      <c r="F183" s="3">
        <v>6762</v>
      </c>
      <c r="G183" s="3">
        <v>27048</v>
      </c>
      <c r="H183" t="s">
        <v>17</v>
      </c>
      <c r="I183" t="s">
        <v>13</v>
      </c>
      <c r="J183" t="str">
        <f t="shared" si="11"/>
        <v>Ok</v>
      </c>
      <c r="K183" t="b">
        <f t="shared" si="12"/>
        <v>0</v>
      </c>
      <c r="L183" t="str">
        <f t="shared" si="13"/>
        <v>CANADA</v>
      </c>
      <c r="M183" t="str">
        <f t="shared" si="14"/>
        <v>Valid</v>
      </c>
      <c r="N183" t="str">
        <f>_xlfn.XLOOKUP(D183, Product_Master!A:A, Product_Master!A:A, "Invalid")</f>
        <v>P04</v>
      </c>
      <c r="O183" t="str">
        <f t="shared" si="15"/>
        <v>Clean</v>
      </c>
    </row>
    <row r="184" spans="1:15" x14ac:dyDescent="0.55000000000000004">
      <c r="A184">
        <v>1183</v>
      </c>
      <c r="B184" t="s">
        <v>275</v>
      </c>
      <c r="C184" s="5" t="s">
        <v>129</v>
      </c>
      <c r="D184" t="s">
        <v>81</v>
      </c>
      <c r="E184" s="4">
        <v>3</v>
      </c>
      <c r="F184" s="3">
        <v>4829</v>
      </c>
      <c r="G184" s="3">
        <v>14487</v>
      </c>
      <c r="H184" t="s">
        <v>22</v>
      </c>
      <c r="I184" t="s">
        <v>18</v>
      </c>
      <c r="J184" t="str">
        <f t="shared" si="11"/>
        <v>Ok</v>
      </c>
      <c r="K184" t="b">
        <f t="shared" si="12"/>
        <v>0</v>
      </c>
      <c r="L184" t="str">
        <f t="shared" si="13"/>
        <v>USA</v>
      </c>
      <c r="M184" t="str">
        <f t="shared" si="14"/>
        <v>Valid</v>
      </c>
      <c r="N184" t="str">
        <f>_xlfn.XLOOKUP(D184, Product_Master!A:A, Product_Master!A:A, "Invalid")</f>
        <v>P06</v>
      </c>
      <c r="O184" t="str">
        <f t="shared" si="15"/>
        <v>Clean</v>
      </c>
    </row>
    <row r="185" spans="1:15" x14ac:dyDescent="0.55000000000000004">
      <c r="A185">
        <v>1184</v>
      </c>
      <c r="B185" t="s">
        <v>276</v>
      </c>
      <c r="C185" s="5" t="s">
        <v>277</v>
      </c>
      <c r="D185" t="s">
        <v>39</v>
      </c>
      <c r="E185" s="4">
        <v>4</v>
      </c>
      <c r="F185" s="3">
        <v>6698</v>
      </c>
      <c r="G185" s="3">
        <v>26792</v>
      </c>
      <c r="H185" t="s">
        <v>26</v>
      </c>
      <c r="I185" t="s">
        <v>18</v>
      </c>
      <c r="J185" t="str">
        <f t="shared" si="11"/>
        <v>Ok</v>
      </c>
      <c r="K185" t="b">
        <f t="shared" si="12"/>
        <v>0</v>
      </c>
      <c r="L185" t="str">
        <f t="shared" si="13"/>
        <v>UK</v>
      </c>
      <c r="M185" t="str">
        <f t="shared" si="14"/>
        <v>Valid</v>
      </c>
      <c r="N185" t="str">
        <f>_xlfn.XLOOKUP(D185, Product_Master!A:A, Product_Master!A:A, "Invalid")</f>
        <v>P12</v>
      </c>
      <c r="O185" t="str">
        <f t="shared" si="15"/>
        <v>Clean</v>
      </c>
    </row>
    <row r="186" spans="1:15" x14ac:dyDescent="0.55000000000000004">
      <c r="A186">
        <v>1185</v>
      </c>
      <c r="B186" t="s">
        <v>278</v>
      </c>
      <c r="C186" s="5" t="s">
        <v>20</v>
      </c>
      <c r="D186" t="s">
        <v>145</v>
      </c>
      <c r="E186" s="4">
        <v>2</v>
      </c>
      <c r="F186" s="3">
        <v>1453</v>
      </c>
      <c r="G186" s="3">
        <v>2906</v>
      </c>
      <c r="H186" t="s">
        <v>22</v>
      </c>
      <c r="I186" t="s">
        <v>55</v>
      </c>
      <c r="J186" t="str">
        <f t="shared" si="11"/>
        <v>Ok</v>
      </c>
      <c r="K186" t="b">
        <f t="shared" si="12"/>
        <v>0</v>
      </c>
      <c r="L186" t="str">
        <f t="shared" si="13"/>
        <v>USA</v>
      </c>
      <c r="M186" t="str">
        <f t="shared" si="14"/>
        <v>Valid</v>
      </c>
      <c r="N186" t="str">
        <f>_xlfn.XLOOKUP(D186, Product_Master!A:A, Product_Master!A:A, "Invalid")</f>
        <v>P02</v>
      </c>
      <c r="O186" t="str">
        <f t="shared" si="15"/>
        <v>Clean</v>
      </c>
    </row>
    <row r="187" spans="1:15" x14ac:dyDescent="0.55000000000000004">
      <c r="A187">
        <v>1186</v>
      </c>
      <c r="B187" t="s">
        <v>279</v>
      </c>
      <c r="C187" s="5" t="s">
        <v>87</v>
      </c>
      <c r="D187" t="s">
        <v>109</v>
      </c>
      <c r="E187" s="4">
        <v>4</v>
      </c>
      <c r="F187" s="3">
        <v>8605</v>
      </c>
      <c r="G187" s="3">
        <v>34420</v>
      </c>
      <c r="H187" t="s">
        <v>12</v>
      </c>
      <c r="I187" t="s">
        <v>18</v>
      </c>
      <c r="J187" t="str">
        <f t="shared" si="11"/>
        <v>Ok</v>
      </c>
      <c r="K187" t="b">
        <f t="shared" si="12"/>
        <v>0</v>
      </c>
      <c r="L187" t="str">
        <f t="shared" si="13"/>
        <v>INDIA</v>
      </c>
      <c r="M187" t="str">
        <f t="shared" si="14"/>
        <v>Valid</v>
      </c>
      <c r="N187" t="str">
        <f>_xlfn.XLOOKUP(D187, Product_Master!A:A, Product_Master!A:A, "Invalid")</f>
        <v>P08</v>
      </c>
      <c r="O187" t="str">
        <f t="shared" si="15"/>
        <v>Clean</v>
      </c>
    </row>
    <row r="188" spans="1:15" x14ac:dyDescent="0.55000000000000004">
      <c r="A188">
        <v>1187</v>
      </c>
      <c r="B188" t="s">
        <v>280</v>
      </c>
      <c r="C188" s="5" t="s">
        <v>91</v>
      </c>
      <c r="D188" t="s">
        <v>141</v>
      </c>
      <c r="E188" s="4">
        <v>3</v>
      </c>
      <c r="F188" s="3">
        <v>8145</v>
      </c>
      <c r="G188" s="3">
        <v>24435</v>
      </c>
      <c r="H188" t="s">
        <v>22</v>
      </c>
      <c r="I188" t="s">
        <v>55</v>
      </c>
      <c r="J188" t="str">
        <f t="shared" si="11"/>
        <v>Ok</v>
      </c>
      <c r="K188" t="b">
        <f t="shared" si="12"/>
        <v>0</v>
      </c>
      <c r="L188" t="str">
        <f t="shared" si="13"/>
        <v>USA</v>
      </c>
      <c r="M188" t="str">
        <f t="shared" si="14"/>
        <v>Valid</v>
      </c>
      <c r="N188" t="str">
        <f>_xlfn.XLOOKUP(D188, Product_Master!A:A, Product_Master!A:A, "Invalid")</f>
        <v>P14</v>
      </c>
      <c r="O188" t="str">
        <f t="shared" si="15"/>
        <v>Clean</v>
      </c>
    </row>
    <row r="189" spans="1:15" x14ac:dyDescent="0.55000000000000004">
      <c r="A189">
        <v>1188</v>
      </c>
      <c r="B189" t="s">
        <v>281</v>
      </c>
      <c r="C189" s="5" t="s">
        <v>104</v>
      </c>
      <c r="D189" t="s">
        <v>29</v>
      </c>
      <c r="E189" s="4">
        <v>4</v>
      </c>
      <c r="F189" s="3">
        <v>4818</v>
      </c>
      <c r="G189" s="3">
        <v>19272</v>
      </c>
      <c r="H189" t="s">
        <v>26</v>
      </c>
      <c r="I189" t="s">
        <v>13</v>
      </c>
      <c r="J189" t="str">
        <f t="shared" si="11"/>
        <v>Ok</v>
      </c>
      <c r="K189" t="b">
        <f t="shared" si="12"/>
        <v>0</v>
      </c>
      <c r="L189" t="str">
        <f t="shared" si="13"/>
        <v>UK</v>
      </c>
      <c r="M189" t="str">
        <f t="shared" si="14"/>
        <v>Valid</v>
      </c>
      <c r="N189" t="str">
        <f>_xlfn.XLOOKUP(D189, Product_Master!A:A, Product_Master!A:A, "Invalid")</f>
        <v>P13</v>
      </c>
      <c r="O189" t="str">
        <f t="shared" si="15"/>
        <v>Clean</v>
      </c>
    </row>
    <row r="190" spans="1:15" x14ac:dyDescent="0.55000000000000004">
      <c r="A190">
        <v>1189</v>
      </c>
      <c r="B190" t="s">
        <v>282</v>
      </c>
      <c r="C190" s="5" t="s">
        <v>87</v>
      </c>
      <c r="D190" t="s">
        <v>81</v>
      </c>
      <c r="E190" s="4">
        <v>3</v>
      </c>
      <c r="F190" s="3">
        <v>2745</v>
      </c>
      <c r="G190" s="3">
        <v>8235</v>
      </c>
      <c r="H190" t="s">
        <v>12</v>
      </c>
      <c r="I190" t="s">
        <v>55</v>
      </c>
      <c r="J190" t="str">
        <f t="shared" si="11"/>
        <v>Ok</v>
      </c>
      <c r="K190" t="b">
        <f t="shared" si="12"/>
        <v>0</v>
      </c>
      <c r="L190" t="str">
        <f t="shared" si="13"/>
        <v>INDIA</v>
      </c>
      <c r="M190" t="str">
        <f t="shared" si="14"/>
        <v>Valid</v>
      </c>
      <c r="N190" t="str">
        <f>_xlfn.XLOOKUP(D190, Product_Master!A:A, Product_Master!A:A, "Invalid")</f>
        <v>P06</v>
      </c>
      <c r="O190" t="str">
        <f t="shared" si="15"/>
        <v>Clean</v>
      </c>
    </row>
    <row r="191" spans="1:15" x14ac:dyDescent="0.55000000000000004">
      <c r="A191">
        <v>1190</v>
      </c>
      <c r="B191" t="s">
        <v>283</v>
      </c>
      <c r="C191" s="5" t="s">
        <v>66</v>
      </c>
      <c r="D191" t="s">
        <v>29</v>
      </c>
      <c r="E191" s="4">
        <v>3</v>
      </c>
      <c r="F191" s="3">
        <v>5497</v>
      </c>
      <c r="G191" s="3">
        <v>16491</v>
      </c>
      <c r="H191" t="s">
        <v>12</v>
      </c>
      <c r="I191" t="s">
        <v>18</v>
      </c>
      <c r="J191" t="str">
        <f t="shared" si="11"/>
        <v>Ok</v>
      </c>
      <c r="K191" t="b">
        <f t="shared" si="12"/>
        <v>0</v>
      </c>
      <c r="L191" t="str">
        <f t="shared" si="13"/>
        <v>INDIA</v>
      </c>
      <c r="M191" t="str">
        <f t="shared" si="14"/>
        <v>Valid</v>
      </c>
      <c r="N191" t="str">
        <f>_xlfn.XLOOKUP(D191, Product_Master!A:A, Product_Master!A:A, "Invalid")</f>
        <v>P13</v>
      </c>
      <c r="O191" t="str">
        <f t="shared" si="15"/>
        <v>Clean</v>
      </c>
    </row>
    <row r="192" spans="1:15" x14ac:dyDescent="0.55000000000000004">
      <c r="A192">
        <v>1191</v>
      </c>
      <c r="B192" t="s">
        <v>284</v>
      </c>
      <c r="C192" s="5" t="s">
        <v>61</v>
      </c>
      <c r="D192" t="s">
        <v>29</v>
      </c>
      <c r="E192" s="4">
        <v>3</v>
      </c>
      <c r="F192" s="3">
        <v>2145</v>
      </c>
      <c r="G192" s="3">
        <v>6435</v>
      </c>
      <c r="H192" t="s">
        <v>17</v>
      </c>
      <c r="I192" t="s">
        <v>13</v>
      </c>
      <c r="J192" t="str">
        <f t="shared" si="11"/>
        <v>Ok</v>
      </c>
      <c r="K192" t="b">
        <f t="shared" si="12"/>
        <v>0</v>
      </c>
      <c r="L192" t="str">
        <f t="shared" si="13"/>
        <v>CANADA</v>
      </c>
      <c r="M192" t="str">
        <f t="shared" si="14"/>
        <v>Valid</v>
      </c>
      <c r="N192" t="str">
        <f>_xlfn.XLOOKUP(D192, Product_Master!A:A, Product_Master!A:A, "Invalid")</f>
        <v>P13</v>
      </c>
      <c r="O192" t="str">
        <f t="shared" si="15"/>
        <v>Clean</v>
      </c>
    </row>
    <row r="193" spans="1:15" x14ac:dyDescent="0.55000000000000004">
      <c r="A193">
        <v>1192</v>
      </c>
      <c r="B193" t="s">
        <v>285</v>
      </c>
      <c r="C193" s="5" t="s">
        <v>125</v>
      </c>
      <c r="D193" t="s">
        <v>29</v>
      </c>
      <c r="E193" s="4">
        <v>4</v>
      </c>
      <c r="F193" s="3">
        <v>4301</v>
      </c>
      <c r="G193" s="3">
        <v>17204</v>
      </c>
      <c r="H193" t="s">
        <v>22</v>
      </c>
      <c r="I193" t="s">
        <v>55</v>
      </c>
      <c r="J193" t="str">
        <f t="shared" si="11"/>
        <v>Ok</v>
      </c>
      <c r="K193" t="b">
        <f t="shared" si="12"/>
        <v>0</v>
      </c>
      <c r="L193" t="str">
        <f t="shared" si="13"/>
        <v>USA</v>
      </c>
      <c r="M193" t="str">
        <f t="shared" si="14"/>
        <v>Valid</v>
      </c>
      <c r="N193" t="str">
        <f>_xlfn.XLOOKUP(D193, Product_Master!A:A, Product_Master!A:A, "Invalid")</f>
        <v>P13</v>
      </c>
      <c r="O193" t="str">
        <f t="shared" si="15"/>
        <v>Clean</v>
      </c>
    </row>
    <row r="194" spans="1:15" x14ac:dyDescent="0.55000000000000004">
      <c r="A194">
        <v>1193</v>
      </c>
      <c r="B194" t="s">
        <v>286</v>
      </c>
      <c r="C194" s="5" t="s">
        <v>48</v>
      </c>
      <c r="D194" t="s">
        <v>109</v>
      </c>
      <c r="E194" s="4">
        <v>3</v>
      </c>
      <c r="F194" s="3">
        <v>5829</v>
      </c>
      <c r="G194" s="3">
        <v>17487</v>
      </c>
      <c r="H194" t="s">
        <v>26</v>
      </c>
      <c r="I194" t="s">
        <v>18</v>
      </c>
      <c r="J194" t="str">
        <f t="shared" ref="J194:J251" si="16">IF(G194&lt;&gt;(E194*F194), "Mismatch", "Ok")</f>
        <v>Ok</v>
      </c>
      <c r="K194" t="b">
        <f t="shared" ref="K194:K251" si="17">ISNUMBER(C194)</f>
        <v>0</v>
      </c>
      <c r="L194" t="str">
        <f t="shared" ref="L194:L251" si="18">_xlfn.XLOOKUP(
    UPPER(SUBSTITUTE(TRIM(H194),".","")),
    A:A,
    B:B,
    UPPER(SUBSTITUTE(TRIM(H194),".",""))
)</f>
        <v>UK</v>
      </c>
      <c r="M194" t="str">
        <f t="shared" ref="M194:M251" si="19">IF(OR(I194="Completed", I194="Pending", I194="Cancelled"), "Valid", "Invalid")</f>
        <v>Valid</v>
      </c>
      <c r="N194" t="str">
        <f>_xlfn.XLOOKUP(D194, Product_Master!A:A, Product_Master!A:A, "Invalid")</f>
        <v>P08</v>
      </c>
      <c r="O194" t="str">
        <f t="shared" si="15"/>
        <v>Clean</v>
      </c>
    </row>
    <row r="195" spans="1:15" x14ac:dyDescent="0.55000000000000004">
      <c r="A195">
        <v>1194</v>
      </c>
      <c r="B195" t="s">
        <v>287</v>
      </c>
      <c r="C195" s="5" t="s">
        <v>50</v>
      </c>
      <c r="D195" t="s">
        <v>81</v>
      </c>
      <c r="E195" s="4">
        <v>5</v>
      </c>
      <c r="F195" s="3">
        <v>1182</v>
      </c>
      <c r="G195" s="3">
        <v>5910</v>
      </c>
      <c r="H195" t="s">
        <v>22</v>
      </c>
      <c r="I195" t="s">
        <v>13</v>
      </c>
      <c r="J195" t="str">
        <f t="shared" si="16"/>
        <v>Ok</v>
      </c>
      <c r="K195" t="b">
        <f t="shared" si="17"/>
        <v>0</v>
      </c>
      <c r="L195" t="str">
        <f t="shared" si="18"/>
        <v>USA</v>
      </c>
      <c r="M195" t="str">
        <f t="shared" si="19"/>
        <v>Valid</v>
      </c>
      <c r="N195" t="str">
        <f>_xlfn.XLOOKUP(D195, Product_Master!A:A, Product_Master!A:A, "Invalid")</f>
        <v>P06</v>
      </c>
      <c r="O195" t="str">
        <f t="shared" si="15"/>
        <v>Clean</v>
      </c>
    </row>
    <row r="196" spans="1:15" x14ac:dyDescent="0.55000000000000004">
      <c r="A196">
        <v>1195</v>
      </c>
      <c r="B196" t="s">
        <v>288</v>
      </c>
      <c r="C196" s="5" t="s">
        <v>162</v>
      </c>
      <c r="D196" t="s">
        <v>109</v>
      </c>
      <c r="E196" s="4">
        <v>3</v>
      </c>
      <c r="F196" s="3">
        <v>2921</v>
      </c>
      <c r="G196" s="3">
        <v>8763</v>
      </c>
      <c r="H196" t="s">
        <v>26</v>
      </c>
      <c r="I196" t="s">
        <v>18</v>
      </c>
      <c r="J196" t="str">
        <f t="shared" si="16"/>
        <v>Ok</v>
      </c>
      <c r="K196" t="b">
        <f t="shared" si="17"/>
        <v>0</v>
      </c>
      <c r="L196" t="str">
        <f t="shared" si="18"/>
        <v>UK</v>
      </c>
      <c r="M196" t="str">
        <f t="shared" si="19"/>
        <v>Valid</v>
      </c>
      <c r="N196" t="str">
        <f>_xlfn.XLOOKUP(D196, Product_Master!A:A, Product_Master!A:A, "Invalid")</f>
        <v>P08</v>
      </c>
      <c r="O196" t="str">
        <f t="shared" si="15"/>
        <v>Clean</v>
      </c>
    </row>
    <row r="197" spans="1:15" x14ac:dyDescent="0.55000000000000004">
      <c r="A197">
        <v>1196</v>
      </c>
      <c r="B197" t="s">
        <v>289</v>
      </c>
      <c r="C197" s="5" t="s">
        <v>118</v>
      </c>
      <c r="D197" t="s">
        <v>25</v>
      </c>
      <c r="E197" s="4">
        <v>4</v>
      </c>
      <c r="F197" s="3">
        <v>4644</v>
      </c>
      <c r="G197" s="3">
        <v>18576</v>
      </c>
      <c r="H197" t="s">
        <v>12</v>
      </c>
      <c r="I197" t="s">
        <v>55</v>
      </c>
      <c r="J197" t="str">
        <f t="shared" si="16"/>
        <v>Ok</v>
      </c>
      <c r="K197" t="b">
        <f t="shared" si="17"/>
        <v>0</v>
      </c>
      <c r="L197" t="str">
        <f t="shared" si="18"/>
        <v>INDIA</v>
      </c>
      <c r="M197" t="str">
        <f t="shared" si="19"/>
        <v>Valid</v>
      </c>
      <c r="N197" t="str">
        <f>_xlfn.XLOOKUP(D197, Product_Master!A:A, Product_Master!A:A, "Invalid")</f>
        <v>P09</v>
      </c>
      <c r="O197" t="str">
        <f t="shared" si="15"/>
        <v>Clean</v>
      </c>
    </row>
    <row r="198" spans="1:15" x14ac:dyDescent="0.55000000000000004">
      <c r="A198">
        <v>1197</v>
      </c>
      <c r="B198" t="s">
        <v>290</v>
      </c>
      <c r="C198" s="5" t="s">
        <v>24</v>
      </c>
      <c r="D198" t="s">
        <v>109</v>
      </c>
      <c r="E198" s="4">
        <v>3</v>
      </c>
      <c r="F198" s="3">
        <v>9347</v>
      </c>
      <c r="G198" s="3">
        <v>28041</v>
      </c>
      <c r="H198" t="s">
        <v>17</v>
      </c>
      <c r="I198" t="s">
        <v>13</v>
      </c>
      <c r="J198" t="str">
        <f t="shared" si="16"/>
        <v>Ok</v>
      </c>
      <c r="K198" t="b">
        <f t="shared" si="17"/>
        <v>0</v>
      </c>
      <c r="L198" t="str">
        <f t="shared" si="18"/>
        <v>CANADA</v>
      </c>
      <c r="M198" t="str">
        <f t="shared" si="19"/>
        <v>Valid</v>
      </c>
      <c r="N198" t="str">
        <f>_xlfn.XLOOKUP(D198, Product_Master!A:A, Product_Master!A:A, "Invalid")</f>
        <v>P08</v>
      </c>
      <c r="O198" t="str">
        <f t="shared" si="15"/>
        <v>Clean</v>
      </c>
    </row>
    <row r="199" spans="1:15" x14ac:dyDescent="0.55000000000000004">
      <c r="A199">
        <v>1198</v>
      </c>
      <c r="B199" t="s">
        <v>291</v>
      </c>
      <c r="C199" s="5" t="s">
        <v>193</v>
      </c>
      <c r="D199" t="s">
        <v>21</v>
      </c>
      <c r="E199" s="4">
        <v>5</v>
      </c>
      <c r="F199" s="3">
        <v>3250</v>
      </c>
      <c r="G199" s="3">
        <v>16250</v>
      </c>
      <c r="H199" t="s">
        <v>26</v>
      </c>
      <c r="I199" t="s">
        <v>13</v>
      </c>
      <c r="J199" t="str">
        <f t="shared" si="16"/>
        <v>Ok</v>
      </c>
      <c r="K199" t="b">
        <f t="shared" si="17"/>
        <v>0</v>
      </c>
      <c r="L199" t="str">
        <f t="shared" si="18"/>
        <v>UK</v>
      </c>
      <c r="M199" t="str">
        <f t="shared" si="19"/>
        <v>Valid</v>
      </c>
      <c r="N199" t="str">
        <f>_xlfn.XLOOKUP(D199, Product_Master!A:A, Product_Master!A:A, "Invalid")</f>
        <v>P15</v>
      </c>
      <c r="O199" t="str">
        <f t="shared" ref="O199:O251" si="20">IF(OR(J199="Mismatch", K199="False", M199="Invalid", N199="Invalid"), "Problem", "Clean")</f>
        <v>Clean</v>
      </c>
    </row>
    <row r="200" spans="1:15" x14ac:dyDescent="0.55000000000000004">
      <c r="A200">
        <v>1199</v>
      </c>
      <c r="B200" t="s">
        <v>292</v>
      </c>
      <c r="C200" s="5" t="s">
        <v>24</v>
      </c>
      <c r="D200" t="s">
        <v>59</v>
      </c>
      <c r="E200" s="4">
        <v>3</v>
      </c>
      <c r="F200" s="3">
        <v>2535</v>
      </c>
      <c r="G200" s="3">
        <v>7605</v>
      </c>
      <c r="H200" t="s">
        <v>22</v>
      </c>
      <c r="I200" t="s">
        <v>18</v>
      </c>
      <c r="J200" t="str">
        <f t="shared" si="16"/>
        <v>Ok</v>
      </c>
      <c r="K200" t="b">
        <f t="shared" si="17"/>
        <v>0</v>
      </c>
      <c r="L200" t="str">
        <f t="shared" si="18"/>
        <v>USA</v>
      </c>
      <c r="M200" t="str">
        <f t="shared" si="19"/>
        <v>Valid</v>
      </c>
      <c r="N200" t="str">
        <f>_xlfn.XLOOKUP(D200, Product_Master!A:A, Product_Master!A:A, "Invalid")</f>
        <v>P03</v>
      </c>
      <c r="O200" t="str">
        <f t="shared" si="20"/>
        <v>Clean</v>
      </c>
    </row>
    <row r="201" spans="1:15" x14ac:dyDescent="0.55000000000000004">
      <c r="A201">
        <v>1200</v>
      </c>
      <c r="B201" t="s">
        <v>293</v>
      </c>
      <c r="C201" s="5" t="s">
        <v>129</v>
      </c>
      <c r="D201" t="s">
        <v>141</v>
      </c>
      <c r="E201" s="4">
        <v>2</v>
      </c>
      <c r="F201" s="3">
        <v>8950</v>
      </c>
      <c r="G201" s="3">
        <v>17900</v>
      </c>
      <c r="H201" t="s">
        <v>26</v>
      </c>
      <c r="I201" t="s">
        <v>13</v>
      </c>
      <c r="J201" t="str">
        <f t="shared" si="16"/>
        <v>Ok</v>
      </c>
      <c r="K201" t="b">
        <f t="shared" si="17"/>
        <v>0</v>
      </c>
      <c r="L201" t="str">
        <f t="shared" si="18"/>
        <v>UK</v>
      </c>
      <c r="M201" t="str">
        <f t="shared" si="19"/>
        <v>Valid</v>
      </c>
      <c r="N201" t="str">
        <f>_xlfn.XLOOKUP(D201, Product_Master!A:A, Product_Master!A:A, "Invalid")</f>
        <v>P14</v>
      </c>
      <c r="O201" t="str">
        <f t="shared" si="20"/>
        <v>Clean</v>
      </c>
    </row>
    <row r="202" spans="1:15" x14ac:dyDescent="0.55000000000000004">
      <c r="A202">
        <v>1201</v>
      </c>
      <c r="B202" t="s">
        <v>294</v>
      </c>
      <c r="C202" s="5" t="s">
        <v>63</v>
      </c>
      <c r="D202" t="s">
        <v>81</v>
      </c>
      <c r="E202" s="4">
        <v>4</v>
      </c>
      <c r="F202" s="3">
        <v>2470</v>
      </c>
      <c r="G202" s="3">
        <v>9880</v>
      </c>
      <c r="H202" t="s">
        <v>22</v>
      </c>
      <c r="I202" t="s">
        <v>13</v>
      </c>
      <c r="J202" t="str">
        <f t="shared" si="16"/>
        <v>Ok</v>
      </c>
      <c r="K202" t="b">
        <f t="shared" si="17"/>
        <v>0</v>
      </c>
      <c r="L202" t="str">
        <f t="shared" si="18"/>
        <v>USA</v>
      </c>
      <c r="M202" t="str">
        <f t="shared" si="19"/>
        <v>Valid</v>
      </c>
      <c r="N202" t="str">
        <f>_xlfn.XLOOKUP(D202, Product_Master!A:A, Product_Master!A:A, "Invalid")</f>
        <v>P06</v>
      </c>
      <c r="O202" t="str">
        <f t="shared" si="20"/>
        <v>Clean</v>
      </c>
    </row>
    <row r="203" spans="1:15" x14ac:dyDescent="0.55000000000000004">
      <c r="A203">
        <v>1202</v>
      </c>
      <c r="B203" t="s">
        <v>295</v>
      </c>
      <c r="C203" s="5" t="s">
        <v>296</v>
      </c>
      <c r="D203" t="s">
        <v>141</v>
      </c>
      <c r="E203" s="4">
        <v>5</v>
      </c>
      <c r="F203" s="3">
        <v>2580</v>
      </c>
      <c r="G203" s="3">
        <v>12900</v>
      </c>
      <c r="H203" t="s">
        <v>12</v>
      </c>
      <c r="I203" t="s">
        <v>13</v>
      </c>
      <c r="J203" t="str">
        <f t="shared" si="16"/>
        <v>Ok</v>
      </c>
      <c r="K203" t="b">
        <f t="shared" si="17"/>
        <v>0</v>
      </c>
      <c r="L203" t="str">
        <f t="shared" si="18"/>
        <v>INDIA</v>
      </c>
      <c r="M203" t="str">
        <f t="shared" si="19"/>
        <v>Valid</v>
      </c>
      <c r="N203" t="str">
        <f>_xlfn.XLOOKUP(D203, Product_Master!A:A, Product_Master!A:A, "Invalid")</f>
        <v>P14</v>
      </c>
      <c r="O203" t="str">
        <f t="shared" si="20"/>
        <v>Clean</v>
      </c>
    </row>
    <row r="204" spans="1:15" x14ac:dyDescent="0.55000000000000004">
      <c r="A204">
        <v>1203</v>
      </c>
      <c r="B204" t="s">
        <v>297</v>
      </c>
      <c r="C204" s="5" t="s">
        <v>15</v>
      </c>
      <c r="D204" t="s">
        <v>81</v>
      </c>
      <c r="E204" s="4">
        <v>2</v>
      </c>
      <c r="F204" s="3">
        <v>569</v>
      </c>
      <c r="G204" s="3">
        <v>1138</v>
      </c>
      <c r="H204" t="s">
        <v>26</v>
      </c>
      <c r="I204" t="s">
        <v>13</v>
      </c>
      <c r="J204" t="str">
        <f t="shared" si="16"/>
        <v>Ok</v>
      </c>
      <c r="K204" t="b">
        <f t="shared" si="17"/>
        <v>0</v>
      </c>
      <c r="L204" t="str">
        <f t="shared" si="18"/>
        <v>UK</v>
      </c>
      <c r="M204" t="str">
        <f t="shared" si="19"/>
        <v>Valid</v>
      </c>
      <c r="N204" t="str">
        <f>_xlfn.XLOOKUP(D204, Product_Master!A:A, Product_Master!A:A, "Invalid")</f>
        <v>P06</v>
      </c>
      <c r="O204" t="str">
        <f t="shared" si="20"/>
        <v>Clean</v>
      </c>
    </row>
    <row r="205" spans="1:15" x14ac:dyDescent="0.55000000000000004">
      <c r="A205">
        <v>1204</v>
      </c>
      <c r="B205" t="s">
        <v>298</v>
      </c>
      <c r="C205" s="5" t="s">
        <v>99</v>
      </c>
      <c r="D205" t="s">
        <v>109</v>
      </c>
      <c r="E205" s="4">
        <v>4</v>
      </c>
      <c r="F205" s="3">
        <v>1388</v>
      </c>
      <c r="G205" s="3">
        <v>5552</v>
      </c>
      <c r="H205" t="s">
        <v>17</v>
      </c>
      <c r="I205" t="s">
        <v>55</v>
      </c>
      <c r="J205" t="str">
        <f t="shared" si="16"/>
        <v>Ok</v>
      </c>
      <c r="K205" t="b">
        <f t="shared" si="17"/>
        <v>0</v>
      </c>
      <c r="L205" t="str">
        <f t="shared" si="18"/>
        <v>CANADA</v>
      </c>
      <c r="M205" t="str">
        <f t="shared" si="19"/>
        <v>Valid</v>
      </c>
      <c r="N205" t="str">
        <f>_xlfn.XLOOKUP(D205, Product_Master!A:A, Product_Master!A:A, "Invalid")</f>
        <v>P08</v>
      </c>
      <c r="O205" t="str">
        <f t="shared" si="20"/>
        <v>Clean</v>
      </c>
    </row>
    <row r="206" spans="1:15" x14ac:dyDescent="0.55000000000000004">
      <c r="A206">
        <v>1205</v>
      </c>
      <c r="B206" t="s">
        <v>299</v>
      </c>
      <c r="C206" s="5" t="s">
        <v>68</v>
      </c>
      <c r="D206" t="s">
        <v>32</v>
      </c>
      <c r="E206" s="4">
        <v>5</v>
      </c>
      <c r="F206" s="3">
        <v>1167</v>
      </c>
      <c r="G206" s="3">
        <v>5835</v>
      </c>
      <c r="H206" t="s">
        <v>22</v>
      </c>
      <c r="I206" t="s">
        <v>18</v>
      </c>
      <c r="J206" t="str">
        <f t="shared" si="16"/>
        <v>Ok</v>
      </c>
      <c r="K206" t="b">
        <f t="shared" si="17"/>
        <v>0</v>
      </c>
      <c r="L206" t="str">
        <f t="shared" si="18"/>
        <v>USA</v>
      </c>
      <c r="M206" t="str">
        <f t="shared" si="19"/>
        <v>Valid</v>
      </c>
      <c r="N206" t="str">
        <f>_xlfn.XLOOKUP(D206, Product_Master!A:A, Product_Master!A:A, "Invalid")</f>
        <v>P04</v>
      </c>
      <c r="O206" t="str">
        <f t="shared" si="20"/>
        <v>Clean</v>
      </c>
    </row>
    <row r="207" spans="1:15" x14ac:dyDescent="0.55000000000000004">
      <c r="A207">
        <v>1206</v>
      </c>
      <c r="B207" t="s">
        <v>300</v>
      </c>
      <c r="C207" s="5" t="s">
        <v>79</v>
      </c>
      <c r="D207" t="s">
        <v>109</v>
      </c>
      <c r="E207" s="4">
        <v>1</v>
      </c>
      <c r="F207" s="3">
        <v>9266</v>
      </c>
      <c r="G207" s="3">
        <v>9266</v>
      </c>
      <c r="H207" t="s">
        <v>17</v>
      </c>
      <c r="I207" t="s">
        <v>13</v>
      </c>
      <c r="J207" t="str">
        <f t="shared" si="16"/>
        <v>Ok</v>
      </c>
      <c r="K207" t="b">
        <f t="shared" si="17"/>
        <v>0</v>
      </c>
      <c r="L207" t="str">
        <f t="shared" si="18"/>
        <v>CANADA</v>
      </c>
      <c r="M207" t="str">
        <f t="shared" si="19"/>
        <v>Valid</v>
      </c>
      <c r="N207" t="str">
        <f>_xlfn.XLOOKUP(D207, Product_Master!A:A, Product_Master!A:A, "Invalid")</f>
        <v>P08</v>
      </c>
      <c r="O207" t="str">
        <f t="shared" si="20"/>
        <v>Clean</v>
      </c>
    </row>
    <row r="208" spans="1:15" x14ac:dyDescent="0.55000000000000004">
      <c r="A208">
        <v>1207</v>
      </c>
      <c r="B208" t="s">
        <v>301</v>
      </c>
      <c r="C208" s="5" t="s">
        <v>114</v>
      </c>
      <c r="D208" t="s">
        <v>16</v>
      </c>
      <c r="E208" s="4">
        <v>5</v>
      </c>
      <c r="F208" s="3">
        <v>8736</v>
      </c>
      <c r="G208" s="3">
        <v>43680</v>
      </c>
      <c r="H208" t="s">
        <v>26</v>
      </c>
      <c r="I208" t="s">
        <v>13</v>
      </c>
      <c r="J208" t="str">
        <f t="shared" si="16"/>
        <v>Ok</v>
      </c>
      <c r="K208" t="b">
        <f t="shared" si="17"/>
        <v>0</v>
      </c>
      <c r="L208" t="str">
        <f t="shared" si="18"/>
        <v>UK</v>
      </c>
      <c r="M208" t="str">
        <f t="shared" si="19"/>
        <v>Valid</v>
      </c>
      <c r="N208" t="str">
        <f>_xlfn.XLOOKUP(D208, Product_Master!A:A, Product_Master!A:A, "Invalid")</f>
        <v>P07</v>
      </c>
      <c r="O208" t="str">
        <f t="shared" si="20"/>
        <v>Clean</v>
      </c>
    </row>
    <row r="209" spans="1:15" x14ac:dyDescent="0.55000000000000004">
      <c r="A209">
        <v>1208</v>
      </c>
      <c r="B209" t="s">
        <v>302</v>
      </c>
      <c r="C209" s="5" t="s">
        <v>162</v>
      </c>
      <c r="D209" t="s">
        <v>44</v>
      </c>
      <c r="E209" s="4">
        <v>4</v>
      </c>
      <c r="F209" s="3">
        <v>7666</v>
      </c>
      <c r="G209" s="3">
        <v>30664</v>
      </c>
      <c r="H209" t="s">
        <v>22</v>
      </c>
      <c r="I209" t="s">
        <v>55</v>
      </c>
      <c r="J209" t="str">
        <f t="shared" si="16"/>
        <v>Ok</v>
      </c>
      <c r="K209" t="b">
        <f t="shared" si="17"/>
        <v>0</v>
      </c>
      <c r="L209" t="str">
        <f t="shared" si="18"/>
        <v>USA</v>
      </c>
      <c r="M209" t="str">
        <f t="shared" si="19"/>
        <v>Valid</v>
      </c>
      <c r="N209" t="str">
        <f>_xlfn.XLOOKUP(D209, Product_Master!A:A, Product_Master!A:A, "Invalid")</f>
        <v>P11</v>
      </c>
      <c r="O209" t="str">
        <f t="shared" si="20"/>
        <v>Clean</v>
      </c>
    </row>
    <row r="210" spans="1:15" x14ac:dyDescent="0.55000000000000004">
      <c r="A210">
        <v>1209</v>
      </c>
      <c r="B210" t="s">
        <v>303</v>
      </c>
      <c r="C210" s="5" t="s">
        <v>83</v>
      </c>
      <c r="D210" t="s">
        <v>109</v>
      </c>
      <c r="E210" s="4">
        <v>5</v>
      </c>
      <c r="F210" s="3">
        <v>2384</v>
      </c>
      <c r="G210" s="3">
        <v>11920</v>
      </c>
      <c r="H210" t="s">
        <v>17</v>
      </c>
      <c r="I210" t="s">
        <v>18</v>
      </c>
      <c r="J210" t="str">
        <f t="shared" si="16"/>
        <v>Ok</v>
      </c>
      <c r="K210" t="b">
        <f t="shared" si="17"/>
        <v>0</v>
      </c>
      <c r="L210" t="str">
        <f t="shared" si="18"/>
        <v>CANADA</v>
      </c>
      <c r="M210" t="str">
        <f t="shared" si="19"/>
        <v>Valid</v>
      </c>
      <c r="N210" t="str">
        <f>_xlfn.XLOOKUP(D210, Product_Master!A:A, Product_Master!A:A, "Invalid")</f>
        <v>P08</v>
      </c>
      <c r="O210" t="str">
        <f t="shared" si="20"/>
        <v>Clean</v>
      </c>
    </row>
    <row r="211" spans="1:15" x14ac:dyDescent="0.55000000000000004">
      <c r="A211">
        <v>1210</v>
      </c>
      <c r="B211" t="s">
        <v>304</v>
      </c>
      <c r="C211" s="5" t="s">
        <v>147</v>
      </c>
      <c r="D211" t="s">
        <v>109</v>
      </c>
      <c r="E211" s="4">
        <v>2</v>
      </c>
      <c r="F211" s="3">
        <v>8753</v>
      </c>
      <c r="G211" s="3">
        <v>17506</v>
      </c>
      <c r="H211" t="s">
        <v>17</v>
      </c>
      <c r="I211" t="s">
        <v>55</v>
      </c>
      <c r="J211" t="str">
        <f t="shared" si="16"/>
        <v>Ok</v>
      </c>
      <c r="K211" t="b">
        <f t="shared" si="17"/>
        <v>0</v>
      </c>
      <c r="L211" t="str">
        <f t="shared" si="18"/>
        <v>CANADA</v>
      </c>
      <c r="M211" t="str">
        <f t="shared" si="19"/>
        <v>Valid</v>
      </c>
      <c r="N211" t="str">
        <f>_xlfn.XLOOKUP(D211, Product_Master!A:A, Product_Master!A:A, "Invalid")</f>
        <v>P08</v>
      </c>
      <c r="O211" t="str">
        <f t="shared" si="20"/>
        <v>Clean</v>
      </c>
    </row>
    <row r="212" spans="1:15" x14ac:dyDescent="0.55000000000000004">
      <c r="A212">
        <v>1211</v>
      </c>
      <c r="B212" t="s">
        <v>305</v>
      </c>
      <c r="C212" s="5" t="s">
        <v>54</v>
      </c>
      <c r="D212" t="s">
        <v>11</v>
      </c>
      <c r="E212" s="4">
        <v>1</v>
      </c>
      <c r="F212" s="3">
        <v>1428</v>
      </c>
      <c r="G212" s="3">
        <v>1428</v>
      </c>
      <c r="H212" t="s">
        <v>12</v>
      </c>
      <c r="I212" t="s">
        <v>18</v>
      </c>
      <c r="J212" t="str">
        <f t="shared" si="16"/>
        <v>Ok</v>
      </c>
      <c r="K212" t="b">
        <f t="shared" si="17"/>
        <v>0</v>
      </c>
      <c r="L212" t="str">
        <f t="shared" si="18"/>
        <v>INDIA</v>
      </c>
      <c r="M212" t="str">
        <f t="shared" si="19"/>
        <v>Valid</v>
      </c>
      <c r="N212" t="str">
        <f>_xlfn.XLOOKUP(D212, Product_Master!A:A, Product_Master!A:A, "Invalid")</f>
        <v>P05</v>
      </c>
      <c r="O212" t="str">
        <f t="shared" si="20"/>
        <v>Clean</v>
      </c>
    </row>
    <row r="213" spans="1:15" x14ac:dyDescent="0.55000000000000004">
      <c r="A213">
        <v>1212</v>
      </c>
      <c r="B213" t="s">
        <v>306</v>
      </c>
      <c r="C213" s="5" t="s">
        <v>15</v>
      </c>
      <c r="D213" t="s">
        <v>11</v>
      </c>
      <c r="E213" s="4">
        <v>2</v>
      </c>
      <c r="F213" s="3">
        <v>1800</v>
      </c>
      <c r="G213" s="3">
        <v>3600</v>
      </c>
      <c r="H213" t="s">
        <v>17</v>
      </c>
      <c r="I213" t="s">
        <v>55</v>
      </c>
      <c r="J213" t="str">
        <f t="shared" si="16"/>
        <v>Ok</v>
      </c>
      <c r="K213" t="b">
        <f t="shared" si="17"/>
        <v>0</v>
      </c>
      <c r="L213" t="str">
        <f t="shared" si="18"/>
        <v>CANADA</v>
      </c>
      <c r="M213" t="str">
        <f t="shared" si="19"/>
        <v>Valid</v>
      </c>
      <c r="N213" t="str">
        <f>_xlfn.XLOOKUP(D213, Product_Master!A:A, Product_Master!A:A, "Invalid")</f>
        <v>P05</v>
      </c>
      <c r="O213" t="str">
        <f t="shared" si="20"/>
        <v>Clean</v>
      </c>
    </row>
    <row r="214" spans="1:15" x14ac:dyDescent="0.55000000000000004">
      <c r="A214">
        <v>1213</v>
      </c>
      <c r="B214" t="s">
        <v>307</v>
      </c>
      <c r="C214" s="5" t="s">
        <v>99</v>
      </c>
      <c r="D214" t="s">
        <v>39</v>
      </c>
      <c r="E214" s="4">
        <v>5</v>
      </c>
      <c r="F214" s="3">
        <v>5731</v>
      </c>
      <c r="G214" s="3">
        <v>28655</v>
      </c>
      <c r="H214" t="s">
        <v>26</v>
      </c>
      <c r="I214" t="s">
        <v>18</v>
      </c>
      <c r="J214" t="str">
        <f t="shared" si="16"/>
        <v>Ok</v>
      </c>
      <c r="K214" t="b">
        <f t="shared" si="17"/>
        <v>0</v>
      </c>
      <c r="L214" t="str">
        <f t="shared" si="18"/>
        <v>UK</v>
      </c>
      <c r="M214" t="str">
        <f t="shared" si="19"/>
        <v>Valid</v>
      </c>
      <c r="N214" t="str">
        <f>_xlfn.XLOOKUP(D214, Product_Master!A:A, Product_Master!A:A, "Invalid")</f>
        <v>P12</v>
      </c>
      <c r="O214" t="str">
        <f t="shared" si="20"/>
        <v>Clean</v>
      </c>
    </row>
    <row r="215" spans="1:15" x14ac:dyDescent="0.55000000000000004">
      <c r="A215">
        <v>1214</v>
      </c>
      <c r="B215" t="s">
        <v>308</v>
      </c>
      <c r="C215" s="5" t="s">
        <v>116</v>
      </c>
      <c r="D215" t="s">
        <v>109</v>
      </c>
      <c r="E215" s="4">
        <v>2</v>
      </c>
      <c r="F215" s="3">
        <v>4614</v>
      </c>
      <c r="G215" s="3">
        <v>9228</v>
      </c>
      <c r="H215" t="s">
        <v>12</v>
      </c>
      <c r="I215" t="s">
        <v>13</v>
      </c>
      <c r="J215" t="str">
        <f t="shared" si="16"/>
        <v>Ok</v>
      </c>
      <c r="K215" t="b">
        <f t="shared" si="17"/>
        <v>0</v>
      </c>
      <c r="L215" t="str">
        <f t="shared" si="18"/>
        <v>INDIA</v>
      </c>
      <c r="M215" t="str">
        <f t="shared" si="19"/>
        <v>Valid</v>
      </c>
      <c r="N215" t="str">
        <f>_xlfn.XLOOKUP(D215, Product_Master!A:A, Product_Master!A:A, "Invalid")</f>
        <v>P08</v>
      </c>
      <c r="O215" t="str">
        <f t="shared" si="20"/>
        <v>Clean</v>
      </c>
    </row>
    <row r="216" spans="1:15" x14ac:dyDescent="0.55000000000000004">
      <c r="A216">
        <v>1215</v>
      </c>
      <c r="B216" t="s">
        <v>309</v>
      </c>
      <c r="C216" s="5" t="s">
        <v>68</v>
      </c>
      <c r="D216" t="s">
        <v>81</v>
      </c>
      <c r="E216" s="4">
        <v>2</v>
      </c>
      <c r="F216" s="3">
        <v>6083</v>
      </c>
      <c r="G216" s="3">
        <v>12166</v>
      </c>
      <c r="H216" t="s">
        <v>26</v>
      </c>
      <c r="I216" t="s">
        <v>13</v>
      </c>
      <c r="J216" t="str">
        <f t="shared" si="16"/>
        <v>Ok</v>
      </c>
      <c r="K216" t="b">
        <f t="shared" si="17"/>
        <v>0</v>
      </c>
      <c r="L216" t="str">
        <f t="shared" si="18"/>
        <v>UK</v>
      </c>
      <c r="M216" t="str">
        <f t="shared" si="19"/>
        <v>Valid</v>
      </c>
      <c r="N216" t="str">
        <f>_xlfn.XLOOKUP(D216, Product_Master!A:A, Product_Master!A:A, "Invalid")</f>
        <v>P06</v>
      </c>
      <c r="O216" t="str">
        <f t="shared" si="20"/>
        <v>Clean</v>
      </c>
    </row>
    <row r="217" spans="1:15" x14ac:dyDescent="0.55000000000000004">
      <c r="A217">
        <v>1216</v>
      </c>
      <c r="B217" t="s">
        <v>310</v>
      </c>
      <c r="C217" s="5" t="s">
        <v>63</v>
      </c>
      <c r="D217" t="s">
        <v>21</v>
      </c>
      <c r="E217" s="4">
        <v>4</v>
      </c>
      <c r="F217" s="3">
        <v>5311</v>
      </c>
      <c r="G217" s="3">
        <v>21244</v>
      </c>
      <c r="H217" t="s">
        <v>26</v>
      </c>
      <c r="I217" t="s">
        <v>13</v>
      </c>
      <c r="J217" t="str">
        <f t="shared" si="16"/>
        <v>Ok</v>
      </c>
      <c r="K217" t="b">
        <f t="shared" si="17"/>
        <v>0</v>
      </c>
      <c r="L217" t="str">
        <f t="shared" si="18"/>
        <v>UK</v>
      </c>
      <c r="M217" t="str">
        <f t="shared" si="19"/>
        <v>Valid</v>
      </c>
      <c r="N217" t="str">
        <f>_xlfn.XLOOKUP(D217, Product_Master!A:A, Product_Master!A:A, "Invalid")</f>
        <v>P15</v>
      </c>
      <c r="O217" t="str">
        <f t="shared" si="20"/>
        <v>Clean</v>
      </c>
    </row>
    <row r="218" spans="1:15" x14ac:dyDescent="0.55000000000000004">
      <c r="A218">
        <v>1217</v>
      </c>
      <c r="B218" t="s">
        <v>311</v>
      </c>
      <c r="C218" s="5" t="s">
        <v>196</v>
      </c>
      <c r="D218" t="s">
        <v>39</v>
      </c>
      <c r="E218" s="4">
        <v>5</v>
      </c>
      <c r="F218" s="3">
        <v>7985</v>
      </c>
      <c r="G218" s="3">
        <v>39925</v>
      </c>
      <c r="H218" t="s">
        <v>22</v>
      </c>
      <c r="I218" t="s">
        <v>18</v>
      </c>
      <c r="J218" t="str">
        <f t="shared" si="16"/>
        <v>Ok</v>
      </c>
      <c r="K218" t="b">
        <f t="shared" si="17"/>
        <v>0</v>
      </c>
      <c r="L218" t="str">
        <f t="shared" si="18"/>
        <v>USA</v>
      </c>
      <c r="M218" t="str">
        <f t="shared" si="19"/>
        <v>Valid</v>
      </c>
      <c r="N218" t="str">
        <f>_xlfn.XLOOKUP(D218, Product_Master!A:A, Product_Master!A:A, "Invalid")</f>
        <v>P12</v>
      </c>
      <c r="O218" t="str">
        <f t="shared" si="20"/>
        <v>Clean</v>
      </c>
    </row>
    <row r="219" spans="1:15" x14ac:dyDescent="0.55000000000000004">
      <c r="A219">
        <v>1218</v>
      </c>
      <c r="B219" t="s">
        <v>312</v>
      </c>
      <c r="C219" s="5" t="s">
        <v>313</v>
      </c>
      <c r="D219" t="s">
        <v>35</v>
      </c>
      <c r="E219" s="4">
        <v>2</v>
      </c>
      <c r="F219" s="3">
        <v>5382</v>
      </c>
      <c r="G219" s="3">
        <v>10764</v>
      </c>
      <c r="H219" t="s">
        <v>22</v>
      </c>
      <c r="I219" t="s">
        <v>18</v>
      </c>
      <c r="J219" t="str">
        <f t="shared" si="16"/>
        <v>Ok</v>
      </c>
      <c r="K219" t="b">
        <f t="shared" si="17"/>
        <v>0</v>
      </c>
      <c r="L219" t="str">
        <f t="shared" si="18"/>
        <v>USA</v>
      </c>
      <c r="M219" t="str">
        <f t="shared" si="19"/>
        <v>Valid</v>
      </c>
      <c r="N219" t="str">
        <f>_xlfn.XLOOKUP(D219, Product_Master!A:A, Product_Master!A:A, "Invalid")</f>
        <v>P10</v>
      </c>
      <c r="O219" t="str">
        <f t="shared" si="20"/>
        <v>Clean</v>
      </c>
    </row>
    <row r="220" spans="1:15" x14ac:dyDescent="0.55000000000000004">
      <c r="A220">
        <v>1219</v>
      </c>
      <c r="B220" t="s">
        <v>314</v>
      </c>
      <c r="C220" s="5" t="s">
        <v>50</v>
      </c>
      <c r="D220" t="s">
        <v>29</v>
      </c>
      <c r="E220" s="4">
        <v>3</v>
      </c>
      <c r="F220" s="3">
        <v>4467</v>
      </c>
      <c r="G220" s="3">
        <v>13401</v>
      </c>
      <c r="H220" t="s">
        <v>26</v>
      </c>
      <c r="I220" t="s">
        <v>13</v>
      </c>
      <c r="J220" t="str">
        <f t="shared" si="16"/>
        <v>Ok</v>
      </c>
      <c r="K220" t="b">
        <f t="shared" si="17"/>
        <v>0</v>
      </c>
      <c r="L220" t="str">
        <f t="shared" si="18"/>
        <v>UK</v>
      </c>
      <c r="M220" t="str">
        <f t="shared" si="19"/>
        <v>Valid</v>
      </c>
      <c r="N220" t="str">
        <f>_xlfn.XLOOKUP(D220, Product_Master!A:A, Product_Master!A:A, "Invalid")</f>
        <v>P13</v>
      </c>
      <c r="O220" t="str">
        <f t="shared" si="20"/>
        <v>Clean</v>
      </c>
    </row>
    <row r="221" spans="1:15" x14ac:dyDescent="0.55000000000000004">
      <c r="A221">
        <v>1220</v>
      </c>
      <c r="B221" t="s">
        <v>315</v>
      </c>
      <c r="C221" s="5" t="s">
        <v>143</v>
      </c>
      <c r="D221" t="s">
        <v>145</v>
      </c>
      <c r="E221" s="4">
        <v>4</v>
      </c>
      <c r="F221" s="3">
        <v>3222</v>
      </c>
      <c r="G221" s="3">
        <v>12888</v>
      </c>
      <c r="H221" t="s">
        <v>12</v>
      </c>
      <c r="I221" t="s">
        <v>18</v>
      </c>
      <c r="J221" t="str">
        <f t="shared" si="16"/>
        <v>Ok</v>
      </c>
      <c r="K221" t="b">
        <f t="shared" si="17"/>
        <v>0</v>
      </c>
      <c r="L221" t="str">
        <f t="shared" si="18"/>
        <v>INDIA</v>
      </c>
      <c r="M221" t="str">
        <f t="shared" si="19"/>
        <v>Valid</v>
      </c>
      <c r="N221" t="str">
        <f>_xlfn.XLOOKUP(D221, Product_Master!A:A, Product_Master!A:A, "Invalid")</f>
        <v>P02</v>
      </c>
      <c r="O221" t="str">
        <f t="shared" si="20"/>
        <v>Clean</v>
      </c>
    </row>
    <row r="222" spans="1:15" x14ac:dyDescent="0.55000000000000004">
      <c r="A222">
        <v>1221</v>
      </c>
      <c r="B222" t="s">
        <v>316</v>
      </c>
      <c r="C222" s="5" t="s">
        <v>116</v>
      </c>
      <c r="D222" t="s">
        <v>81</v>
      </c>
      <c r="E222" s="4">
        <v>4</v>
      </c>
      <c r="F222" s="3">
        <v>1293</v>
      </c>
      <c r="G222" s="3">
        <v>5172</v>
      </c>
      <c r="H222" t="s">
        <v>26</v>
      </c>
      <c r="I222" t="s">
        <v>18</v>
      </c>
      <c r="J222" t="str">
        <f t="shared" si="16"/>
        <v>Ok</v>
      </c>
      <c r="K222" t="b">
        <f t="shared" si="17"/>
        <v>0</v>
      </c>
      <c r="L222" t="str">
        <f t="shared" si="18"/>
        <v>UK</v>
      </c>
      <c r="M222" t="str">
        <f t="shared" si="19"/>
        <v>Valid</v>
      </c>
      <c r="N222" t="str">
        <f>_xlfn.XLOOKUP(D222, Product_Master!A:A, Product_Master!A:A, "Invalid")</f>
        <v>P06</v>
      </c>
      <c r="O222" t="str">
        <f t="shared" si="20"/>
        <v>Clean</v>
      </c>
    </row>
    <row r="223" spans="1:15" x14ac:dyDescent="0.55000000000000004">
      <c r="A223">
        <v>1222</v>
      </c>
      <c r="B223" t="s">
        <v>317</v>
      </c>
      <c r="C223" s="5" t="s">
        <v>20</v>
      </c>
      <c r="D223" t="s">
        <v>44</v>
      </c>
      <c r="E223" s="4">
        <v>2</v>
      </c>
      <c r="F223" s="3">
        <v>4518</v>
      </c>
      <c r="G223" s="3">
        <v>9036</v>
      </c>
      <c r="H223" t="s">
        <v>17</v>
      </c>
      <c r="I223" t="s">
        <v>18</v>
      </c>
      <c r="J223" t="str">
        <f t="shared" si="16"/>
        <v>Ok</v>
      </c>
      <c r="K223" t="b">
        <f t="shared" si="17"/>
        <v>0</v>
      </c>
      <c r="L223" t="str">
        <f t="shared" si="18"/>
        <v>CANADA</v>
      </c>
      <c r="M223" t="str">
        <f t="shared" si="19"/>
        <v>Valid</v>
      </c>
      <c r="N223" t="str">
        <f>_xlfn.XLOOKUP(D223, Product_Master!A:A, Product_Master!A:A, "Invalid")</f>
        <v>P11</v>
      </c>
      <c r="O223" t="str">
        <f t="shared" si="20"/>
        <v>Clean</v>
      </c>
    </row>
    <row r="224" spans="1:15" x14ac:dyDescent="0.55000000000000004">
      <c r="A224">
        <v>1223</v>
      </c>
      <c r="B224" t="s">
        <v>318</v>
      </c>
      <c r="C224" s="5" t="s">
        <v>180</v>
      </c>
      <c r="D224" t="s">
        <v>141</v>
      </c>
      <c r="E224" s="4">
        <v>4</v>
      </c>
      <c r="F224" s="3">
        <v>4292</v>
      </c>
      <c r="G224" s="3">
        <v>17168</v>
      </c>
      <c r="H224" t="s">
        <v>17</v>
      </c>
      <c r="I224" t="s">
        <v>13</v>
      </c>
      <c r="J224" t="str">
        <f t="shared" si="16"/>
        <v>Ok</v>
      </c>
      <c r="K224" t="b">
        <f t="shared" si="17"/>
        <v>0</v>
      </c>
      <c r="L224" t="str">
        <f t="shared" si="18"/>
        <v>CANADA</v>
      </c>
      <c r="M224" t="str">
        <f t="shared" si="19"/>
        <v>Valid</v>
      </c>
      <c r="N224" t="str">
        <f>_xlfn.XLOOKUP(D224, Product_Master!A:A, Product_Master!A:A, "Invalid")</f>
        <v>P14</v>
      </c>
      <c r="O224" t="str">
        <f t="shared" si="20"/>
        <v>Clean</v>
      </c>
    </row>
    <row r="225" spans="1:15" x14ac:dyDescent="0.55000000000000004">
      <c r="A225">
        <v>1224</v>
      </c>
      <c r="B225" t="s">
        <v>319</v>
      </c>
      <c r="C225" s="5" t="s">
        <v>162</v>
      </c>
      <c r="D225" t="s">
        <v>29</v>
      </c>
      <c r="E225" s="4">
        <v>5</v>
      </c>
      <c r="F225" s="3">
        <v>4253</v>
      </c>
      <c r="G225" s="3">
        <v>21265</v>
      </c>
      <c r="H225" t="s">
        <v>17</v>
      </c>
      <c r="I225" t="s">
        <v>13</v>
      </c>
      <c r="J225" t="str">
        <f t="shared" si="16"/>
        <v>Ok</v>
      </c>
      <c r="K225" t="b">
        <f t="shared" si="17"/>
        <v>0</v>
      </c>
      <c r="L225" t="str">
        <f t="shared" si="18"/>
        <v>CANADA</v>
      </c>
      <c r="M225" t="str">
        <f t="shared" si="19"/>
        <v>Valid</v>
      </c>
      <c r="N225" t="str">
        <f>_xlfn.XLOOKUP(D225, Product_Master!A:A, Product_Master!A:A, "Invalid")</f>
        <v>P13</v>
      </c>
      <c r="O225" t="str">
        <f t="shared" si="20"/>
        <v>Clean</v>
      </c>
    </row>
    <row r="226" spans="1:15" x14ac:dyDescent="0.55000000000000004">
      <c r="A226">
        <v>1225</v>
      </c>
      <c r="B226" t="s">
        <v>320</v>
      </c>
      <c r="C226" s="5" t="s">
        <v>50</v>
      </c>
      <c r="D226" t="s">
        <v>16</v>
      </c>
      <c r="E226" s="4">
        <v>4</v>
      </c>
      <c r="F226" s="3">
        <v>9269</v>
      </c>
      <c r="G226" s="3">
        <v>37076</v>
      </c>
      <c r="H226" t="s">
        <v>12</v>
      </c>
      <c r="I226" t="s">
        <v>55</v>
      </c>
      <c r="J226" t="str">
        <f t="shared" si="16"/>
        <v>Ok</v>
      </c>
      <c r="K226" t="b">
        <f t="shared" si="17"/>
        <v>0</v>
      </c>
      <c r="L226" t="str">
        <f t="shared" si="18"/>
        <v>INDIA</v>
      </c>
      <c r="M226" t="str">
        <f t="shared" si="19"/>
        <v>Valid</v>
      </c>
      <c r="N226" t="str">
        <f>_xlfn.XLOOKUP(D226, Product_Master!A:A, Product_Master!A:A, "Invalid")</f>
        <v>P07</v>
      </c>
      <c r="O226" t="str">
        <f t="shared" si="20"/>
        <v>Clean</v>
      </c>
    </row>
    <row r="227" spans="1:15" x14ac:dyDescent="0.55000000000000004">
      <c r="A227">
        <v>1226</v>
      </c>
      <c r="B227" t="s">
        <v>321</v>
      </c>
      <c r="C227" s="5" t="s">
        <v>31</v>
      </c>
      <c r="D227" t="s">
        <v>11</v>
      </c>
      <c r="E227" s="4">
        <v>1</v>
      </c>
      <c r="F227" s="3">
        <v>6805</v>
      </c>
      <c r="G227" s="3">
        <v>6805</v>
      </c>
      <c r="H227" t="s">
        <v>17</v>
      </c>
      <c r="I227" t="s">
        <v>55</v>
      </c>
      <c r="J227" t="str">
        <f t="shared" si="16"/>
        <v>Ok</v>
      </c>
      <c r="K227" t="b">
        <f t="shared" si="17"/>
        <v>0</v>
      </c>
      <c r="L227" t="str">
        <f t="shared" si="18"/>
        <v>CANADA</v>
      </c>
      <c r="M227" t="str">
        <f t="shared" si="19"/>
        <v>Valid</v>
      </c>
      <c r="N227" t="str">
        <f>_xlfn.XLOOKUP(D227, Product_Master!A:A, Product_Master!A:A, "Invalid")</f>
        <v>P05</v>
      </c>
      <c r="O227" t="str">
        <f t="shared" si="20"/>
        <v>Clean</v>
      </c>
    </row>
    <row r="228" spans="1:15" x14ac:dyDescent="0.55000000000000004">
      <c r="A228">
        <v>1227</v>
      </c>
      <c r="B228" t="s">
        <v>322</v>
      </c>
      <c r="C228" s="5" t="s">
        <v>120</v>
      </c>
      <c r="D228" t="s">
        <v>35</v>
      </c>
      <c r="E228" s="4">
        <v>1</v>
      </c>
      <c r="F228" s="3">
        <v>4827</v>
      </c>
      <c r="G228" s="3">
        <v>4827</v>
      </c>
      <c r="H228" t="s">
        <v>17</v>
      </c>
      <c r="I228" t="s">
        <v>18</v>
      </c>
      <c r="J228" t="str">
        <f t="shared" si="16"/>
        <v>Ok</v>
      </c>
      <c r="K228" t="b">
        <f t="shared" si="17"/>
        <v>0</v>
      </c>
      <c r="L228" t="str">
        <f t="shared" si="18"/>
        <v>CANADA</v>
      </c>
      <c r="M228" t="str">
        <f t="shared" si="19"/>
        <v>Valid</v>
      </c>
      <c r="N228" t="str">
        <f>_xlfn.XLOOKUP(D228, Product_Master!A:A, Product_Master!A:A, "Invalid")</f>
        <v>P10</v>
      </c>
      <c r="O228" t="str">
        <f t="shared" si="20"/>
        <v>Clean</v>
      </c>
    </row>
    <row r="229" spans="1:15" x14ac:dyDescent="0.55000000000000004">
      <c r="A229">
        <v>1228</v>
      </c>
      <c r="B229" t="s">
        <v>323</v>
      </c>
      <c r="C229" s="5" t="s">
        <v>151</v>
      </c>
      <c r="D229" t="s">
        <v>25</v>
      </c>
      <c r="E229" s="4">
        <v>3</v>
      </c>
      <c r="F229" s="3">
        <v>6057</v>
      </c>
      <c r="G229" s="3">
        <v>18171</v>
      </c>
      <c r="H229" t="s">
        <v>22</v>
      </c>
      <c r="I229" t="s">
        <v>13</v>
      </c>
      <c r="J229" t="str">
        <f t="shared" si="16"/>
        <v>Ok</v>
      </c>
      <c r="K229" t="b">
        <f t="shared" si="17"/>
        <v>0</v>
      </c>
      <c r="L229" t="str">
        <f t="shared" si="18"/>
        <v>USA</v>
      </c>
      <c r="M229" t="str">
        <f t="shared" si="19"/>
        <v>Valid</v>
      </c>
      <c r="N229" t="str">
        <f>_xlfn.XLOOKUP(D229, Product_Master!A:A, Product_Master!A:A, "Invalid")</f>
        <v>P09</v>
      </c>
      <c r="O229" t="str">
        <f t="shared" si="20"/>
        <v>Clean</v>
      </c>
    </row>
    <row r="230" spans="1:15" x14ac:dyDescent="0.55000000000000004">
      <c r="A230">
        <v>1229</v>
      </c>
      <c r="B230" t="s">
        <v>324</v>
      </c>
      <c r="C230" s="5" t="s">
        <v>133</v>
      </c>
      <c r="D230" t="s">
        <v>16</v>
      </c>
      <c r="E230" s="4">
        <v>3</v>
      </c>
      <c r="F230" s="3">
        <v>1583</v>
      </c>
      <c r="G230" s="3">
        <v>4749</v>
      </c>
      <c r="H230" t="s">
        <v>26</v>
      </c>
      <c r="I230" t="s">
        <v>13</v>
      </c>
      <c r="J230" t="str">
        <f t="shared" si="16"/>
        <v>Ok</v>
      </c>
      <c r="K230" t="b">
        <f t="shared" si="17"/>
        <v>0</v>
      </c>
      <c r="L230" t="str">
        <f t="shared" si="18"/>
        <v>UK</v>
      </c>
      <c r="M230" t="str">
        <f t="shared" si="19"/>
        <v>Valid</v>
      </c>
      <c r="N230" t="str">
        <f>_xlfn.XLOOKUP(D230, Product_Master!A:A, Product_Master!A:A, "Invalid")</f>
        <v>P07</v>
      </c>
      <c r="O230" t="str">
        <f t="shared" si="20"/>
        <v>Clean</v>
      </c>
    </row>
    <row r="231" spans="1:15" x14ac:dyDescent="0.55000000000000004">
      <c r="A231">
        <v>1230</v>
      </c>
      <c r="B231" t="s">
        <v>325</v>
      </c>
      <c r="C231" s="5" t="s">
        <v>63</v>
      </c>
      <c r="D231" t="s">
        <v>81</v>
      </c>
      <c r="E231" s="4">
        <v>4</v>
      </c>
      <c r="F231" s="3">
        <v>843</v>
      </c>
      <c r="G231" s="3">
        <v>3372</v>
      </c>
      <c r="H231" t="s">
        <v>22</v>
      </c>
      <c r="I231" t="s">
        <v>18</v>
      </c>
      <c r="J231" t="str">
        <f t="shared" si="16"/>
        <v>Ok</v>
      </c>
      <c r="K231" t="b">
        <f t="shared" si="17"/>
        <v>0</v>
      </c>
      <c r="L231" t="str">
        <f t="shared" si="18"/>
        <v>USA</v>
      </c>
      <c r="M231" t="str">
        <f t="shared" si="19"/>
        <v>Valid</v>
      </c>
      <c r="N231" t="str">
        <f>_xlfn.XLOOKUP(D231, Product_Master!A:A, Product_Master!A:A, "Invalid")</f>
        <v>P06</v>
      </c>
      <c r="O231" t="str">
        <f t="shared" si="20"/>
        <v>Clean</v>
      </c>
    </row>
    <row r="232" spans="1:15" x14ac:dyDescent="0.55000000000000004">
      <c r="A232">
        <v>1231</v>
      </c>
      <c r="B232" t="s">
        <v>326</v>
      </c>
      <c r="C232" s="5" t="s">
        <v>83</v>
      </c>
      <c r="D232" t="s">
        <v>145</v>
      </c>
      <c r="E232" s="4">
        <v>5</v>
      </c>
      <c r="F232" s="3">
        <v>5937</v>
      </c>
      <c r="G232" s="3">
        <v>29685</v>
      </c>
      <c r="H232" t="s">
        <v>12</v>
      </c>
      <c r="I232" t="s">
        <v>13</v>
      </c>
      <c r="J232" t="str">
        <f t="shared" si="16"/>
        <v>Ok</v>
      </c>
      <c r="K232" t="b">
        <f t="shared" si="17"/>
        <v>0</v>
      </c>
      <c r="L232" t="str">
        <f t="shared" si="18"/>
        <v>INDIA</v>
      </c>
      <c r="M232" t="str">
        <f t="shared" si="19"/>
        <v>Valid</v>
      </c>
      <c r="N232" t="str">
        <f>_xlfn.XLOOKUP(D232, Product_Master!A:A, Product_Master!A:A, "Invalid")</f>
        <v>P02</v>
      </c>
      <c r="O232" t="str">
        <f t="shared" si="20"/>
        <v>Clean</v>
      </c>
    </row>
    <row r="233" spans="1:15" x14ac:dyDescent="0.55000000000000004">
      <c r="A233">
        <v>1232</v>
      </c>
      <c r="B233" t="s">
        <v>327</v>
      </c>
      <c r="C233" s="5" t="s">
        <v>136</v>
      </c>
      <c r="D233" t="s">
        <v>51</v>
      </c>
      <c r="E233" s="4">
        <v>1</v>
      </c>
      <c r="F233" s="3">
        <v>8519</v>
      </c>
      <c r="G233" s="3">
        <v>8519</v>
      </c>
      <c r="H233" t="s">
        <v>12</v>
      </c>
      <c r="I233" t="s">
        <v>13</v>
      </c>
      <c r="J233" t="str">
        <f t="shared" si="16"/>
        <v>Ok</v>
      </c>
      <c r="K233" t="b">
        <f t="shared" si="17"/>
        <v>0</v>
      </c>
      <c r="L233" t="str">
        <f t="shared" si="18"/>
        <v>INDIA</v>
      </c>
      <c r="M233" t="str">
        <f t="shared" si="19"/>
        <v>Valid</v>
      </c>
      <c r="N233" t="str">
        <f>_xlfn.XLOOKUP(D233, Product_Master!A:A, Product_Master!A:A, "Invalid")</f>
        <v>P01</v>
      </c>
      <c r="O233" t="str">
        <f t="shared" si="20"/>
        <v>Clean</v>
      </c>
    </row>
    <row r="234" spans="1:15" x14ac:dyDescent="0.55000000000000004">
      <c r="A234">
        <v>1233</v>
      </c>
      <c r="B234" t="s">
        <v>328</v>
      </c>
      <c r="C234" s="5" t="s">
        <v>48</v>
      </c>
      <c r="D234" t="s">
        <v>39</v>
      </c>
      <c r="E234" s="4">
        <v>1</v>
      </c>
      <c r="F234" s="3">
        <v>1144</v>
      </c>
      <c r="G234" s="3">
        <v>1144</v>
      </c>
      <c r="H234" t="s">
        <v>12</v>
      </c>
      <c r="I234" t="s">
        <v>18</v>
      </c>
      <c r="J234" t="str">
        <f t="shared" si="16"/>
        <v>Ok</v>
      </c>
      <c r="K234" t="b">
        <f t="shared" si="17"/>
        <v>0</v>
      </c>
      <c r="L234" t="str">
        <f t="shared" si="18"/>
        <v>INDIA</v>
      </c>
      <c r="M234" t="str">
        <f t="shared" si="19"/>
        <v>Valid</v>
      </c>
      <c r="N234" t="str">
        <f>_xlfn.XLOOKUP(D234, Product_Master!A:A, Product_Master!A:A, "Invalid")</f>
        <v>P12</v>
      </c>
      <c r="O234" t="str">
        <f t="shared" si="20"/>
        <v>Clean</v>
      </c>
    </row>
    <row r="235" spans="1:15" x14ac:dyDescent="0.55000000000000004">
      <c r="A235">
        <v>1234</v>
      </c>
      <c r="B235" t="s">
        <v>329</v>
      </c>
      <c r="C235" s="5" t="s">
        <v>87</v>
      </c>
      <c r="D235" t="s">
        <v>16</v>
      </c>
      <c r="E235" s="4">
        <v>3</v>
      </c>
      <c r="F235" s="3">
        <v>6096</v>
      </c>
      <c r="G235" s="3">
        <v>18288</v>
      </c>
      <c r="H235" t="s">
        <v>22</v>
      </c>
      <c r="I235" t="s">
        <v>13</v>
      </c>
      <c r="J235" t="str">
        <f t="shared" si="16"/>
        <v>Ok</v>
      </c>
      <c r="K235" t="b">
        <f t="shared" si="17"/>
        <v>0</v>
      </c>
      <c r="L235" t="str">
        <f t="shared" si="18"/>
        <v>USA</v>
      </c>
      <c r="M235" t="str">
        <f t="shared" si="19"/>
        <v>Valid</v>
      </c>
      <c r="N235" t="str">
        <f>_xlfn.XLOOKUP(D235, Product_Master!A:A, Product_Master!A:A, "Invalid")</f>
        <v>P07</v>
      </c>
      <c r="O235" t="str">
        <f t="shared" si="20"/>
        <v>Clean</v>
      </c>
    </row>
    <row r="236" spans="1:15" x14ac:dyDescent="0.55000000000000004">
      <c r="A236">
        <v>1235</v>
      </c>
      <c r="B236" t="s">
        <v>330</v>
      </c>
      <c r="C236" s="5" t="s">
        <v>159</v>
      </c>
      <c r="D236" t="s">
        <v>11</v>
      </c>
      <c r="E236" s="4">
        <v>1</v>
      </c>
      <c r="F236" s="3">
        <v>4661</v>
      </c>
      <c r="G236" s="3">
        <v>4661</v>
      </c>
      <c r="H236" t="s">
        <v>22</v>
      </c>
      <c r="I236" t="s">
        <v>18</v>
      </c>
      <c r="J236" t="str">
        <f t="shared" si="16"/>
        <v>Ok</v>
      </c>
      <c r="K236" t="b">
        <f t="shared" si="17"/>
        <v>0</v>
      </c>
      <c r="L236" t="str">
        <f t="shared" si="18"/>
        <v>USA</v>
      </c>
      <c r="M236" t="str">
        <f t="shared" si="19"/>
        <v>Valid</v>
      </c>
      <c r="N236" t="str">
        <f>_xlfn.XLOOKUP(D236, Product_Master!A:A, Product_Master!A:A, "Invalid")</f>
        <v>P05</v>
      </c>
      <c r="O236" t="str">
        <f t="shared" si="20"/>
        <v>Clean</v>
      </c>
    </row>
    <row r="237" spans="1:15" x14ac:dyDescent="0.55000000000000004">
      <c r="A237">
        <v>1236</v>
      </c>
      <c r="B237" t="s">
        <v>331</v>
      </c>
      <c r="C237" s="5" t="s">
        <v>332</v>
      </c>
      <c r="D237" t="s">
        <v>59</v>
      </c>
      <c r="E237" s="4">
        <v>5</v>
      </c>
      <c r="F237" s="3">
        <v>5430</v>
      </c>
      <c r="G237" s="3">
        <v>27150</v>
      </c>
      <c r="H237" t="s">
        <v>17</v>
      </c>
      <c r="I237" t="s">
        <v>55</v>
      </c>
      <c r="J237" t="str">
        <f t="shared" si="16"/>
        <v>Ok</v>
      </c>
      <c r="K237" t="b">
        <f t="shared" si="17"/>
        <v>0</v>
      </c>
      <c r="L237" t="str">
        <f t="shared" si="18"/>
        <v>CANADA</v>
      </c>
      <c r="M237" t="str">
        <f t="shared" si="19"/>
        <v>Valid</v>
      </c>
      <c r="N237" t="str">
        <f>_xlfn.XLOOKUP(D237, Product_Master!A:A, Product_Master!A:A, "Invalid")</f>
        <v>P03</v>
      </c>
      <c r="O237" t="str">
        <f t="shared" si="20"/>
        <v>Clean</v>
      </c>
    </row>
    <row r="238" spans="1:15" x14ac:dyDescent="0.55000000000000004">
      <c r="A238">
        <v>1237</v>
      </c>
      <c r="B238" t="s">
        <v>333</v>
      </c>
      <c r="C238" s="5" t="s">
        <v>101</v>
      </c>
      <c r="D238" t="s">
        <v>25</v>
      </c>
      <c r="E238" s="4">
        <v>4</v>
      </c>
      <c r="F238" s="3">
        <v>3916</v>
      </c>
      <c r="G238" s="3">
        <v>15664</v>
      </c>
      <c r="H238" t="s">
        <v>12</v>
      </c>
      <c r="I238" t="s">
        <v>18</v>
      </c>
      <c r="J238" t="str">
        <f t="shared" si="16"/>
        <v>Ok</v>
      </c>
      <c r="K238" t="b">
        <f t="shared" si="17"/>
        <v>0</v>
      </c>
      <c r="L238" t="str">
        <f t="shared" si="18"/>
        <v>INDIA</v>
      </c>
      <c r="M238" t="str">
        <f t="shared" si="19"/>
        <v>Valid</v>
      </c>
      <c r="N238" t="str">
        <f>_xlfn.XLOOKUP(D238, Product_Master!A:A, Product_Master!A:A, "Invalid")</f>
        <v>P09</v>
      </c>
      <c r="O238" t="str">
        <f t="shared" si="20"/>
        <v>Clean</v>
      </c>
    </row>
    <row r="239" spans="1:15" x14ac:dyDescent="0.55000000000000004">
      <c r="A239">
        <v>1238</v>
      </c>
      <c r="B239" t="s">
        <v>334</v>
      </c>
      <c r="C239" s="5" t="s">
        <v>28</v>
      </c>
      <c r="D239" t="s">
        <v>109</v>
      </c>
      <c r="E239" s="4">
        <v>2</v>
      </c>
      <c r="F239" s="3">
        <v>7467</v>
      </c>
      <c r="G239" s="3">
        <v>14934</v>
      </c>
      <c r="H239" t="s">
        <v>17</v>
      </c>
      <c r="I239" t="s">
        <v>55</v>
      </c>
      <c r="J239" t="str">
        <f t="shared" si="16"/>
        <v>Ok</v>
      </c>
      <c r="K239" t="b">
        <f t="shared" si="17"/>
        <v>0</v>
      </c>
      <c r="L239" t="str">
        <f t="shared" si="18"/>
        <v>CANADA</v>
      </c>
      <c r="M239" t="str">
        <f t="shared" si="19"/>
        <v>Valid</v>
      </c>
      <c r="N239" t="str">
        <f>_xlfn.XLOOKUP(D239, Product_Master!A:A, Product_Master!A:A, "Invalid")</f>
        <v>P08</v>
      </c>
      <c r="O239" t="str">
        <f t="shared" si="20"/>
        <v>Clean</v>
      </c>
    </row>
    <row r="240" spans="1:15" x14ac:dyDescent="0.55000000000000004">
      <c r="A240">
        <v>1239</v>
      </c>
      <c r="B240" t="s">
        <v>335</v>
      </c>
      <c r="C240" s="5" t="s">
        <v>143</v>
      </c>
      <c r="D240" t="s">
        <v>32</v>
      </c>
      <c r="E240" s="4">
        <v>1</v>
      </c>
      <c r="F240" s="3">
        <v>1249</v>
      </c>
      <c r="G240" s="3">
        <v>1249</v>
      </c>
      <c r="H240" t="s">
        <v>26</v>
      </c>
      <c r="I240" t="s">
        <v>55</v>
      </c>
      <c r="J240" t="str">
        <f t="shared" si="16"/>
        <v>Ok</v>
      </c>
      <c r="K240" t="b">
        <f t="shared" si="17"/>
        <v>0</v>
      </c>
      <c r="L240" t="str">
        <f t="shared" si="18"/>
        <v>UK</v>
      </c>
      <c r="M240" t="str">
        <f t="shared" si="19"/>
        <v>Valid</v>
      </c>
      <c r="N240" t="str">
        <f>_xlfn.XLOOKUP(D240, Product_Master!A:A, Product_Master!A:A, "Invalid")</f>
        <v>P04</v>
      </c>
      <c r="O240" t="str">
        <f t="shared" si="20"/>
        <v>Clean</v>
      </c>
    </row>
    <row r="241" spans="1:15" x14ac:dyDescent="0.55000000000000004">
      <c r="A241">
        <v>1240</v>
      </c>
      <c r="B241" t="s">
        <v>336</v>
      </c>
      <c r="C241" s="5" t="s">
        <v>54</v>
      </c>
      <c r="D241" t="s">
        <v>16</v>
      </c>
      <c r="E241" s="4">
        <v>2</v>
      </c>
      <c r="F241" s="3">
        <v>7905</v>
      </c>
      <c r="G241" s="3">
        <v>15810</v>
      </c>
      <c r="H241" t="s">
        <v>22</v>
      </c>
      <c r="I241" t="s">
        <v>18</v>
      </c>
      <c r="J241" t="str">
        <f t="shared" si="16"/>
        <v>Ok</v>
      </c>
      <c r="K241" t="b">
        <f t="shared" si="17"/>
        <v>0</v>
      </c>
      <c r="L241" t="str">
        <f t="shared" si="18"/>
        <v>USA</v>
      </c>
      <c r="M241" t="str">
        <f t="shared" si="19"/>
        <v>Valid</v>
      </c>
      <c r="N241" t="str">
        <f>_xlfn.XLOOKUP(D241, Product_Master!A:A, Product_Master!A:A, "Invalid")</f>
        <v>P07</v>
      </c>
      <c r="O241" t="str">
        <f t="shared" si="20"/>
        <v>Clean</v>
      </c>
    </row>
    <row r="242" spans="1:15" x14ac:dyDescent="0.55000000000000004">
      <c r="A242">
        <v>1241</v>
      </c>
      <c r="B242" t="s">
        <v>337</v>
      </c>
      <c r="C242" s="5" t="s">
        <v>34</v>
      </c>
      <c r="D242" t="s">
        <v>35</v>
      </c>
      <c r="E242" s="4">
        <v>5</v>
      </c>
      <c r="F242" s="3">
        <v>9443</v>
      </c>
      <c r="G242" s="3">
        <v>47215</v>
      </c>
      <c r="H242" t="s">
        <v>26</v>
      </c>
      <c r="I242" t="s">
        <v>55</v>
      </c>
      <c r="J242" t="str">
        <f t="shared" si="16"/>
        <v>Ok</v>
      </c>
      <c r="K242" t="b">
        <f t="shared" si="17"/>
        <v>0</v>
      </c>
      <c r="L242" t="str">
        <f t="shared" si="18"/>
        <v>UK</v>
      </c>
      <c r="M242" t="str">
        <f t="shared" si="19"/>
        <v>Valid</v>
      </c>
      <c r="N242" t="str">
        <f>_xlfn.XLOOKUP(D242, Product_Master!A:A, Product_Master!A:A, "Invalid")</f>
        <v>P10</v>
      </c>
      <c r="O242" t="str">
        <f t="shared" si="20"/>
        <v>Clean</v>
      </c>
    </row>
    <row r="243" spans="1:15" x14ac:dyDescent="0.55000000000000004">
      <c r="A243">
        <v>1242</v>
      </c>
      <c r="B243" t="s">
        <v>338</v>
      </c>
      <c r="C243" s="5" t="s">
        <v>10</v>
      </c>
      <c r="D243" t="s">
        <v>81</v>
      </c>
      <c r="E243" s="4">
        <v>1</v>
      </c>
      <c r="F243" s="3">
        <v>7209</v>
      </c>
      <c r="G243" s="3">
        <v>7209</v>
      </c>
      <c r="H243" t="s">
        <v>22</v>
      </c>
      <c r="I243" t="s">
        <v>55</v>
      </c>
      <c r="J243" t="str">
        <f t="shared" si="16"/>
        <v>Ok</v>
      </c>
      <c r="K243" t="b">
        <f t="shared" si="17"/>
        <v>0</v>
      </c>
      <c r="L243" t="str">
        <f t="shared" si="18"/>
        <v>USA</v>
      </c>
      <c r="M243" t="str">
        <f t="shared" si="19"/>
        <v>Valid</v>
      </c>
      <c r="N243" t="str">
        <f>_xlfn.XLOOKUP(D243, Product_Master!A:A, Product_Master!A:A, "Invalid")</f>
        <v>P06</v>
      </c>
      <c r="O243" t="str">
        <f t="shared" si="20"/>
        <v>Clean</v>
      </c>
    </row>
    <row r="244" spans="1:15" x14ac:dyDescent="0.55000000000000004">
      <c r="A244">
        <v>1243</v>
      </c>
      <c r="B244" t="s">
        <v>339</v>
      </c>
      <c r="C244" s="5" t="s">
        <v>89</v>
      </c>
      <c r="D244" t="s">
        <v>39</v>
      </c>
      <c r="E244" s="4">
        <v>3</v>
      </c>
      <c r="F244" s="3">
        <v>2433</v>
      </c>
      <c r="G244" s="3">
        <v>7299</v>
      </c>
      <c r="H244" t="s">
        <v>17</v>
      </c>
      <c r="I244" t="s">
        <v>18</v>
      </c>
      <c r="J244" t="str">
        <f t="shared" si="16"/>
        <v>Ok</v>
      </c>
      <c r="K244" t="b">
        <f t="shared" si="17"/>
        <v>0</v>
      </c>
      <c r="L244" t="str">
        <f t="shared" si="18"/>
        <v>CANADA</v>
      </c>
      <c r="M244" t="str">
        <f t="shared" si="19"/>
        <v>Valid</v>
      </c>
      <c r="N244" t="str">
        <f>_xlfn.XLOOKUP(D244, Product_Master!A:A, Product_Master!A:A, "Invalid")</f>
        <v>P12</v>
      </c>
      <c r="O244" t="str">
        <f t="shared" si="20"/>
        <v>Clean</v>
      </c>
    </row>
    <row r="245" spans="1:15" x14ac:dyDescent="0.55000000000000004">
      <c r="A245">
        <v>1244</v>
      </c>
      <c r="B245" t="s">
        <v>340</v>
      </c>
      <c r="C245" s="5" t="s">
        <v>37</v>
      </c>
      <c r="D245" t="s">
        <v>109</v>
      </c>
      <c r="E245" s="4">
        <v>3</v>
      </c>
      <c r="F245" s="3">
        <v>2502</v>
      </c>
      <c r="G245" s="3">
        <v>7506</v>
      </c>
      <c r="H245" t="s">
        <v>26</v>
      </c>
      <c r="I245" t="s">
        <v>55</v>
      </c>
      <c r="J245" t="str">
        <f t="shared" si="16"/>
        <v>Ok</v>
      </c>
      <c r="K245" t="b">
        <f t="shared" si="17"/>
        <v>0</v>
      </c>
      <c r="L245" t="str">
        <f t="shared" si="18"/>
        <v>UK</v>
      </c>
      <c r="M245" t="str">
        <f t="shared" si="19"/>
        <v>Valid</v>
      </c>
      <c r="N245" t="str">
        <f>_xlfn.XLOOKUP(D245, Product_Master!A:A, Product_Master!A:A, "Invalid")</f>
        <v>P08</v>
      </c>
      <c r="O245" t="str">
        <f t="shared" si="20"/>
        <v>Clean</v>
      </c>
    </row>
    <row r="246" spans="1:15" x14ac:dyDescent="0.55000000000000004">
      <c r="A246">
        <v>1245</v>
      </c>
      <c r="B246" t="s">
        <v>341</v>
      </c>
      <c r="C246" s="5" t="s">
        <v>277</v>
      </c>
      <c r="D246" t="s">
        <v>35</v>
      </c>
      <c r="E246" s="4">
        <v>1</v>
      </c>
      <c r="F246" s="3">
        <v>3892</v>
      </c>
      <c r="G246" s="3">
        <v>3892</v>
      </c>
      <c r="H246" t="s">
        <v>12</v>
      </c>
      <c r="I246" t="s">
        <v>18</v>
      </c>
      <c r="J246" t="str">
        <f t="shared" si="16"/>
        <v>Ok</v>
      </c>
      <c r="K246" t="b">
        <f t="shared" si="17"/>
        <v>0</v>
      </c>
      <c r="L246" t="str">
        <f t="shared" si="18"/>
        <v>INDIA</v>
      </c>
      <c r="M246" t="str">
        <f t="shared" si="19"/>
        <v>Valid</v>
      </c>
      <c r="N246" t="str">
        <f>_xlfn.XLOOKUP(D246, Product_Master!A:A, Product_Master!A:A, "Invalid")</f>
        <v>P10</v>
      </c>
      <c r="O246" t="str">
        <f t="shared" si="20"/>
        <v>Clean</v>
      </c>
    </row>
    <row r="247" spans="1:15" x14ac:dyDescent="0.55000000000000004">
      <c r="A247">
        <v>1246</v>
      </c>
      <c r="B247" t="s">
        <v>342</v>
      </c>
      <c r="C247" s="5" t="s">
        <v>54</v>
      </c>
      <c r="D247" t="s">
        <v>32</v>
      </c>
      <c r="E247" s="4">
        <v>1</v>
      </c>
      <c r="F247" s="3">
        <v>5209</v>
      </c>
      <c r="G247" s="3">
        <v>5209</v>
      </c>
      <c r="H247" t="s">
        <v>17</v>
      </c>
      <c r="I247" t="s">
        <v>18</v>
      </c>
      <c r="J247" t="str">
        <f t="shared" si="16"/>
        <v>Ok</v>
      </c>
      <c r="K247" t="b">
        <f t="shared" si="17"/>
        <v>0</v>
      </c>
      <c r="L247" t="str">
        <f t="shared" si="18"/>
        <v>CANADA</v>
      </c>
      <c r="M247" t="str">
        <f t="shared" si="19"/>
        <v>Valid</v>
      </c>
      <c r="N247" t="str">
        <f>_xlfn.XLOOKUP(D247, Product_Master!A:A, Product_Master!A:A, "Invalid")</f>
        <v>P04</v>
      </c>
      <c r="O247" t="str">
        <f t="shared" si="20"/>
        <v>Clean</v>
      </c>
    </row>
    <row r="248" spans="1:15" x14ac:dyDescent="0.55000000000000004">
      <c r="A248">
        <v>1247</v>
      </c>
      <c r="B248" t="s">
        <v>343</v>
      </c>
      <c r="C248" s="5" t="s">
        <v>79</v>
      </c>
      <c r="D248" t="s">
        <v>81</v>
      </c>
      <c r="E248" s="4">
        <v>3</v>
      </c>
      <c r="F248" s="3">
        <v>3379</v>
      </c>
      <c r="G248" s="3">
        <v>10137</v>
      </c>
      <c r="H248" t="s">
        <v>17</v>
      </c>
      <c r="I248" t="s">
        <v>55</v>
      </c>
      <c r="J248" t="str">
        <f t="shared" si="16"/>
        <v>Ok</v>
      </c>
      <c r="K248" t="b">
        <f t="shared" si="17"/>
        <v>0</v>
      </c>
      <c r="L248" t="str">
        <f t="shared" si="18"/>
        <v>CANADA</v>
      </c>
      <c r="M248" t="str">
        <f t="shared" si="19"/>
        <v>Valid</v>
      </c>
      <c r="N248" t="str">
        <f>_xlfn.XLOOKUP(D248, Product_Master!A:A, Product_Master!A:A, "Invalid")</f>
        <v>P06</v>
      </c>
      <c r="O248" t="str">
        <f t="shared" si="20"/>
        <v>Clean</v>
      </c>
    </row>
    <row r="249" spans="1:15" x14ac:dyDescent="0.55000000000000004">
      <c r="A249">
        <v>1248</v>
      </c>
      <c r="B249" t="s">
        <v>344</v>
      </c>
      <c r="C249" s="5" t="s">
        <v>41</v>
      </c>
      <c r="D249" t="s">
        <v>21</v>
      </c>
      <c r="E249" s="4">
        <v>4</v>
      </c>
      <c r="F249" s="3">
        <v>1713</v>
      </c>
      <c r="G249" s="3">
        <v>6852</v>
      </c>
      <c r="H249" t="s">
        <v>26</v>
      </c>
      <c r="I249" t="s">
        <v>55</v>
      </c>
      <c r="J249" t="str">
        <f t="shared" si="16"/>
        <v>Ok</v>
      </c>
      <c r="K249" t="b">
        <f t="shared" si="17"/>
        <v>0</v>
      </c>
      <c r="L249" t="str">
        <f t="shared" si="18"/>
        <v>UK</v>
      </c>
      <c r="M249" t="str">
        <f t="shared" si="19"/>
        <v>Valid</v>
      </c>
      <c r="N249" t="str">
        <f>_xlfn.XLOOKUP(D249, Product_Master!A:A, Product_Master!A:A, "Invalid")</f>
        <v>P15</v>
      </c>
      <c r="O249" t="str">
        <f t="shared" si="20"/>
        <v>Clean</v>
      </c>
    </row>
    <row r="250" spans="1:15" x14ac:dyDescent="0.55000000000000004">
      <c r="A250">
        <v>1249</v>
      </c>
      <c r="B250" t="s">
        <v>345</v>
      </c>
      <c r="C250" s="5" t="s">
        <v>20</v>
      </c>
      <c r="D250" t="s">
        <v>59</v>
      </c>
      <c r="E250" s="4">
        <v>2</v>
      </c>
      <c r="F250" s="3">
        <v>8723</v>
      </c>
      <c r="G250" s="3">
        <v>17446</v>
      </c>
      <c r="H250" t="s">
        <v>26</v>
      </c>
      <c r="I250" t="s">
        <v>55</v>
      </c>
      <c r="J250" t="str">
        <f t="shared" si="16"/>
        <v>Ok</v>
      </c>
      <c r="K250" t="b">
        <f t="shared" si="17"/>
        <v>0</v>
      </c>
      <c r="L250" t="str">
        <f t="shared" si="18"/>
        <v>UK</v>
      </c>
      <c r="M250" t="str">
        <f t="shared" si="19"/>
        <v>Valid</v>
      </c>
      <c r="N250" t="str">
        <f>_xlfn.XLOOKUP(D250, Product_Master!A:A, Product_Master!A:A, "Invalid")</f>
        <v>P03</v>
      </c>
      <c r="O250" t="str">
        <f t="shared" si="20"/>
        <v>Clean</v>
      </c>
    </row>
    <row r="251" spans="1:15" x14ac:dyDescent="0.55000000000000004">
      <c r="A251">
        <v>1250</v>
      </c>
      <c r="B251" t="s">
        <v>346</v>
      </c>
      <c r="C251" s="5" t="s">
        <v>111</v>
      </c>
      <c r="D251" t="s">
        <v>11</v>
      </c>
      <c r="E251" s="4">
        <v>3</v>
      </c>
      <c r="F251" s="3">
        <v>7954</v>
      </c>
      <c r="G251" s="3">
        <v>23862</v>
      </c>
      <c r="H251" t="s">
        <v>26</v>
      </c>
      <c r="I251" t="s">
        <v>55</v>
      </c>
      <c r="J251" t="str">
        <f t="shared" si="16"/>
        <v>Ok</v>
      </c>
      <c r="K251" t="b">
        <f t="shared" si="17"/>
        <v>0</v>
      </c>
      <c r="L251" t="str">
        <f t="shared" si="18"/>
        <v>UK</v>
      </c>
      <c r="M251" t="str">
        <f t="shared" si="19"/>
        <v>Valid</v>
      </c>
      <c r="N251" t="str">
        <f>_xlfn.XLOOKUP(D251, Product_Master!A:A, Product_Master!A:A, "Invalid")</f>
        <v>P05</v>
      </c>
      <c r="O251" t="str">
        <f t="shared" si="20"/>
        <v>Clean</v>
      </c>
    </row>
    <row r="252" spans="1:15" x14ac:dyDescent="0.55000000000000004">
      <c r="G252" s="3">
        <f>SUM(G2:G251)</f>
        <v>3635279</v>
      </c>
    </row>
  </sheetData>
  <phoneticPr fontId="3" type="noConversion"/>
  <conditionalFormatting sqref="A1:A251">
    <cfRule type="duplicateValues" dxfId="0" priority="2"/>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G12" sqref="G12"/>
    </sheetView>
  </sheetViews>
  <sheetFormatPr defaultRowHeight="14.4" x14ac:dyDescent="0.55000000000000004"/>
  <cols>
    <col min="2" max="2" width="12.83984375" bestFit="1" customWidth="1"/>
  </cols>
  <sheetData>
    <row r="1" spans="1:2" x14ac:dyDescent="0.55000000000000004">
      <c r="A1" s="1" t="s">
        <v>3</v>
      </c>
      <c r="B1" s="1" t="s">
        <v>347</v>
      </c>
    </row>
    <row r="2" spans="1:2" x14ac:dyDescent="0.55000000000000004">
      <c r="A2" t="s">
        <v>51</v>
      </c>
      <c r="B2" t="s">
        <v>348</v>
      </c>
    </row>
    <row r="3" spans="1:2" x14ac:dyDescent="0.55000000000000004">
      <c r="A3" t="s">
        <v>145</v>
      </c>
      <c r="B3" t="s">
        <v>349</v>
      </c>
    </row>
    <row r="4" spans="1:2" x14ac:dyDescent="0.55000000000000004">
      <c r="A4" t="s">
        <v>59</v>
      </c>
      <c r="B4" t="s">
        <v>350</v>
      </c>
    </row>
    <row r="5" spans="1:2" x14ac:dyDescent="0.55000000000000004">
      <c r="A5" t="s">
        <v>32</v>
      </c>
      <c r="B5" t="s">
        <v>351</v>
      </c>
    </row>
    <row r="6" spans="1:2" x14ac:dyDescent="0.55000000000000004">
      <c r="A6" t="s">
        <v>11</v>
      </c>
      <c r="B6" t="s">
        <v>352</v>
      </c>
    </row>
    <row r="7" spans="1:2" x14ac:dyDescent="0.55000000000000004">
      <c r="A7" t="s">
        <v>81</v>
      </c>
      <c r="B7" t="s">
        <v>353</v>
      </c>
    </row>
    <row r="8" spans="1:2" x14ac:dyDescent="0.55000000000000004">
      <c r="A8" t="s">
        <v>16</v>
      </c>
      <c r="B8" t="s">
        <v>354</v>
      </c>
    </row>
    <row r="9" spans="1:2" x14ac:dyDescent="0.55000000000000004">
      <c r="A9" t="s">
        <v>109</v>
      </c>
      <c r="B9" t="s">
        <v>355</v>
      </c>
    </row>
    <row r="10" spans="1:2" x14ac:dyDescent="0.55000000000000004">
      <c r="A10" t="s">
        <v>25</v>
      </c>
      <c r="B10" t="s">
        <v>356</v>
      </c>
    </row>
    <row r="11" spans="1:2" x14ac:dyDescent="0.55000000000000004">
      <c r="A11" t="s">
        <v>35</v>
      </c>
      <c r="B11" t="s">
        <v>357</v>
      </c>
    </row>
    <row r="12" spans="1:2" x14ac:dyDescent="0.55000000000000004">
      <c r="A12" t="s">
        <v>44</v>
      </c>
      <c r="B12" t="s">
        <v>358</v>
      </c>
    </row>
    <row r="13" spans="1:2" x14ac:dyDescent="0.55000000000000004">
      <c r="A13" t="s">
        <v>39</v>
      </c>
      <c r="B13" t="s">
        <v>359</v>
      </c>
    </row>
    <row r="14" spans="1:2" x14ac:dyDescent="0.55000000000000004">
      <c r="A14" t="s">
        <v>29</v>
      </c>
      <c r="B14" t="s">
        <v>360</v>
      </c>
    </row>
    <row r="15" spans="1:2" x14ac:dyDescent="0.55000000000000004">
      <c r="A15" t="s">
        <v>141</v>
      </c>
      <c r="B15" t="s">
        <v>361</v>
      </c>
    </row>
    <row r="16" spans="1:2" x14ac:dyDescent="0.55000000000000004">
      <c r="A16" t="s">
        <v>21</v>
      </c>
      <c r="B16" t="s">
        <v>362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9718-36CC-4E18-8164-7959D17AB700}">
  <dimension ref="A3:G9"/>
  <sheetViews>
    <sheetView tabSelected="1" workbookViewId="0">
      <selection activeCell="B3" sqref="B3"/>
    </sheetView>
  </sheetViews>
  <sheetFormatPr defaultRowHeight="14.4" x14ac:dyDescent="0.55000000000000004"/>
  <cols>
    <col min="1" max="1" width="12.05078125" bestFit="1" customWidth="1"/>
    <col min="2" max="2" width="20.41796875" bestFit="1" customWidth="1"/>
    <col min="3" max="3" width="4.734375" bestFit="1" customWidth="1"/>
    <col min="4" max="4" width="5.05078125" bestFit="1" customWidth="1"/>
    <col min="5" max="5" width="3" bestFit="1" customWidth="1"/>
    <col min="6" max="6" width="12.05078125" bestFit="1" customWidth="1"/>
    <col min="7" max="7" width="15.578125" bestFit="1" customWidth="1"/>
  </cols>
  <sheetData>
    <row r="3" spans="1:7" x14ac:dyDescent="0.55000000000000004">
      <c r="A3" s="8" t="s">
        <v>395</v>
      </c>
      <c r="B3" t="s">
        <v>468</v>
      </c>
      <c r="F3" s="8" t="s">
        <v>395</v>
      </c>
      <c r="G3" t="s">
        <v>396</v>
      </c>
    </row>
    <row r="4" spans="1:7" x14ac:dyDescent="0.55000000000000004">
      <c r="A4" s="9" t="s">
        <v>397</v>
      </c>
      <c r="B4" s="14">
        <v>65</v>
      </c>
      <c r="F4" s="9" t="s">
        <v>18</v>
      </c>
      <c r="G4">
        <v>97</v>
      </c>
    </row>
    <row r="5" spans="1:7" x14ac:dyDescent="0.55000000000000004">
      <c r="A5" s="9" t="s">
        <v>398</v>
      </c>
      <c r="B5" s="14">
        <v>69</v>
      </c>
      <c r="F5" s="9" t="s">
        <v>13</v>
      </c>
      <c r="G5">
        <v>74</v>
      </c>
    </row>
    <row r="6" spans="1:7" x14ac:dyDescent="0.55000000000000004">
      <c r="A6" s="9" t="s">
        <v>26</v>
      </c>
      <c r="B6" s="14">
        <v>60</v>
      </c>
      <c r="F6" s="9" t="s">
        <v>176</v>
      </c>
      <c r="G6">
        <v>1</v>
      </c>
    </row>
    <row r="7" spans="1:7" x14ac:dyDescent="0.55000000000000004">
      <c r="A7" s="9" t="s">
        <v>22</v>
      </c>
      <c r="B7" s="14">
        <v>56</v>
      </c>
      <c r="F7" s="9" t="s">
        <v>55</v>
      </c>
      <c r="G7">
        <v>77</v>
      </c>
    </row>
    <row r="8" spans="1:7" x14ac:dyDescent="0.55000000000000004">
      <c r="A8" s="9" t="s">
        <v>394</v>
      </c>
      <c r="B8" s="14">
        <v>250</v>
      </c>
      <c r="F8" s="9" t="s">
        <v>188</v>
      </c>
      <c r="G8">
        <v>1</v>
      </c>
    </row>
    <row r="9" spans="1:7" x14ac:dyDescent="0.55000000000000004">
      <c r="F9" s="9" t="s">
        <v>394</v>
      </c>
      <c r="G9">
        <v>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6551B-C137-4B12-A13B-319DBD129753}">
  <dimension ref="A1:G8"/>
  <sheetViews>
    <sheetView workbookViewId="0">
      <selection activeCell="C5" sqref="C5"/>
    </sheetView>
  </sheetViews>
  <sheetFormatPr defaultRowHeight="14.4" x14ac:dyDescent="0.55000000000000004"/>
  <cols>
    <col min="1" max="1" width="62.41796875" bestFit="1" customWidth="1"/>
    <col min="2" max="2" width="17.3671875" bestFit="1" customWidth="1"/>
    <col min="3" max="3" width="15.68359375" customWidth="1"/>
    <col min="4" max="4" width="11.5234375" customWidth="1"/>
    <col min="7" max="7" width="54.578125" bestFit="1" customWidth="1"/>
  </cols>
  <sheetData>
    <row r="1" spans="1:7" x14ac:dyDescent="0.55000000000000004">
      <c r="A1" s="11" t="s">
        <v>428</v>
      </c>
      <c r="B1" s="11" t="s">
        <v>450</v>
      </c>
      <c r="G1" s="11" t="s">
        <v>449</v>
      </c>
    </row>
    <row r="2" spans="1:7" x14ac:dyDescent="0.55000000000000004">
      <c r="A2" t="s">
        <v>429</v>
      </c>
      <c r="B2" s="12" t="s">
        <v>433</v>
      </c>
      <c r="C2" s="12" t="s">
        <v>434</v>
      </c>
      <c r="D2" s="12" t="s">
        <v>435</v>
      </c>
      <c r="G2" t="s">
        <v>444</v>
      </c>
    </row>
    <row r="3" spans="1:7" x14ac:dyDescent="0.55000000000000004">
      <c r="A3" t="s">
        <v>392</v>
      </c>
      <c r="B3" s="13" t="s">
        <v>436</v>
      </c>
      <c r="C3" s="13">
        <v>4</v>
      </c>
      <c r="D3" s="13" t="s">
        <v>437</v>
      </c>
      <c r="G3" t="s">
        <v>445</v>
      </c>
    </row>
    <row r="4" spans="1:7" x14ac:dyDescent="0.55000000000000004">
      <c r="A4" t="s">
        <v>393</v>
      </c>
      <c r="B4" s="13" t="s">
        <v>438</v>
      </c>
      <c r="C4" s="13">
        <v>6</v>
      </c>
      <c r="D4" s="13" t="s">
        <v>437</v>
      </c>
      <c r="G4" t="s">
        <v>446</v>
      </c>
    </row>
    <row r="5" spans="1:7" x14ac:dyDescent="0.55000000000000004">
      <c r="A5" t="s">
        <v>430</v>
      </c>
      <c r="B5" s="13" t="s">
        <v>439</v>
      </c>
      <c r="C5" s="13">
        <v>2</v>
      </c>
      <c r="D5" s="13" t="s">
        <v>437</v>
      </c>
      <c r="G5" t="s">
        <v>447</v>
      </c>
    </row>
    <row r="6" spans="1:7" x14ac:dyDescent="0.55000000000000004">
      <c r="B6" s="13" t="s">
        <v>440</v>
      </c>
      <c r="C6" s="13">
        <v>3</v>
      </c>
      <c r="D6" s="13" t="s">
        <v>437</v>
      </c>
      <c r="G6" t="s">
        <v>448</v>
      </c>
    </row>
    <row r="7" spans="1:7" x14ac:dyDescent="0.55000000000000004">
      <c r="A7" t="s">
        <v>431</v>
      </c>
      <c r="B7" s="13" t="s">
        <v>441</v>
      </c>
      <c r="C7" s="13">
        <v>249</v>
      </c>
      <c r="D7" s="13" t="s">
        <v>442</v>
      </c>
    </row>
    <row r="8" spans="1:7" x14ac:dyDescent="0.55000000000000004">
      <c r="A8" t="s">
        <v>432</v>
      </c>
      <c r="B8" s="13" t="s">
        <v>443</v>
      </c>
      <c r="C8" s="13">
        <v>2</v>
      </c>
      <c r="D8" s="13" t="s">
        <v>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Tasks</vt:lpstr>
      <vt:lpstr>Cleaned_Data</vt:lpstr>
      <vt:lpstr>Product_Master</vt:lpstr>
      <vt:lpstr>Pivot_Tables</vt:lpstr>
      <vt:lpstr>QA_Findigs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Gupta</cp:lastModifiedBy>
  <dcterms:created xsi:type="dcterms:W3CDTF">2026-02-23T19:30:24Z</dcterms:created>
  <dcterms:modified xsi:type="dcterms:W3CDTF">2026-02-24T16:24:38Z</dcterms:modified>
</cp:coreProperties>
</file>